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ndalone Financials" sheetId="2" state="visible" r:id="rId4"/>
    <sheet name="Deal Assumptions" sheetId="3" state="visible" r:id="rId5"/>
    <sheet name="Purchase Price Allocation" sheetId="4" state="visible" r:id="rId6"/>
    <sheet name="Pro Forma" sheetId="5" state="visible" r:id="rId7"/>
    <sheet name="Accretion-Dilution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<sst xmlns="http://schemas.openxmlformats.org/spreadsheetml/2006/main" count="132" uniqueCount="129">
  <si>
    <t xml:space="preserve">Illustrative M&amp;A Model: Moncler S.p.A. (Acquirer) / Burberry Group plc (Target)</t>
  </si>
  <si>
    <t xml:space="preserve">Prepared by: Abia Khan | khan.abia1013@gmail.com</t>
  </si>
  <si>
    <t xml:space="preserve">IMPORTANT — THIS IS NOT A REAL ANNOUNCED DEAL. No formal offer has been made by either company as of 15 Aug 2026.</t>
  </si>
  <si>
    <t xml:space="preserve">This model is grounded in genuine, reported market speculation: in mid-2026, trade press (Miss Tweed, relayed by</t>
  </si>
  <si>
    <t xml:space="preserve">Simply Wall St and other outlets) reported that Moncler S.p.A. was said to be considering a bid for Burberry, and</t>
  </si>
  <si>
    <t xml:space="preserve">that Bernard Arnault (LVMH, which holds a stake in Moncler) was reportedly 'keen' to see such a deal happen —</t>
  </si>
  <si>
    <t xml:space="preserve">Burberry shares reportedly jumped as much as 8% on the reports. Burberry declined to comment on speculation; a</t>
  </si>
  <si>
    <t xml:space="preserve">Moncler spokesperson said the company does not comment on 'unsubstantiated rumours'. That reported speculation is</t>
  </si>
  <si>
    <t xml:space="preserve">used only as a real-world reason to pair these two specific companies — every deal TERM below (premium, cash/stock</t>
  </si>
  <si>
    <t xml:space="preserve">mix, synergies) is this analyst's own assumption, clearly flagged, not a leaked or reported deal term.</t>
  </si>
  <si>
    <t xml:space="preserve">DATA AS OF: 15 August 2026. Standalone financials sourced from stockanalysis.com, cross-referenced against the</t>
  </si>
  <si>
    <t xml:space="preserve">trading comps build for consistency of Burberry figures. Full URLs on the Sources tab.</t>
  </si>
  <si>
    <t xml:space="preserve">KEY JUDGEMENT CALLS:</t>
  </si>
  <si>
    <t xml:space="preserve">1. Offer premium: 25% to Burberry's undisturbed share price (£10.72, 5 Aug 2026) — mid-point of a typical</t>
  </si>
  <si>
    <t xml:space="preserve">    20-30% control premium range. This is an assumption, not a leaked term.</t>
  </si>
  <si>
    <t xml:space="preserve">2. Consideration mix: 50% cash / 50% stock, a common structure for a cross-border strategic deal of this size —</t>
  </si>
  <si>
    <t xml:space="preserve">    not a reported structure. The sensitivity table shows how the result changes across the full 0-100% range.</t>
  </si>
  <si>
    <t xml:space="preserve">3. Cost synergies: assumed at £80m/year pre-tax (~1.7% of Burberry's FY2026 revenue), reflecting plausible</t>
  </si>
  <si>
    <t xml:space="preserve">    procurement, real estate, and back-office overlap in a luxury-sector combination — a conservative estimate</t>
  </si>
  <si>
    <t xml:space="preserve">    relative to some publicly disclosed luxury M&amp;A synergy targets, which have ranged higher.</t>
  </si>
  <si>
    <t xml:space="preserve">4. New debt cost: 5.5%, reflecting a BB+/BBB- rated European issuer raising acquisition debt in the current UK/EU</t>
  </si>
  <si>
    <t xml:space="preserve">    rate environment (UK 10yr Gilt ~5.0% as of Aug 2026, plus a corporate spread).</t>
  </si>
  <si>
    <t xml:space="preserve">5. No fair-value asset write-ups are modelled (simplified PPA) — all of the Purchase Price premium over Target</t>
  </si>
  <si>
    <t xml:space="preserve">    Book Equity flows to Goodwill, and there is no incremental D&amp;A from the deal itself.</t>
  </si>
  <si>
    <t xml:space="preserve">Standalone Financials (most recent fiscal year, native currency)</t>
  </si>
  <si>
    <t xml:space="preserve">Metric</t>
  </si>
  <si>
    <t xml:space="preserve">Moncler (Acquirer, EUR m)</t>
  </si>
  <si>
    <t xml:space="preserve">Burberry (Target, GBP m)</t>
  </si>
  <si>
    <t xml:space="preserve">Net Income</t>
  </si>
  <si>
    <t xml:space="preserve">Moncler FY2025 (stockanalysis.com); Burberry FY2026 Net Income to Common (stockanalysis.com)</t>
  </si>
  <si>
    <t xml:space="preserve">Diluted Shares Outstanding (m)</t>
  </si>
  <si>
    <t xml:space="preserve">Companion Comps workbook, Data tab (both companies), sourced stockanalysis.com 5 Aug 2026</t>
  </si>
  <si>
    <t xml:space="preserve">Diluted EPS</t>
  </si>
  <si>
    <t xml:space="preserve">Calculated</t>
  </si>
  <si>
    <t xml:space="preserve">Current share price</t>
  </si>
  <si>
    <t xml:space="preserve">Moncler: EV/mcap implied (trading comps build, EUR); Burberry: trading comps build, Data tab, 5 Aug 2026</t>
  </si>
  <si>
    <t xml:space="preserve">Market Capitalisation</t>
  </si>
  <si>
    <t xml:space="preserve">Companion Comps workbook, Data tab, sourced stockanalysis.com 5 Aug 2026</t>
  </si>
  <si>
    <t xml:space="preserve">Total Equity (Book Value)</t>
  </si>
  <si>
    <t xml:space="preserve">Burberry FY2026 balance sheet (stockanalysis.com); Moncler book value not required for this simplified PPA</t>
  </si>
  <si>
    <t xml:space="preserve">Moncler's current share price is derived as Market Cap / Diluted Shares (EUR232,580m implied via comps workbook was for LVMH — Moncler's own market</t>
  </si>
  <si>
    <t xml:space="preserve">cap of EUR15,020m / 271.6m shares = EUR55.31; the EUR62.14 trading price shown in the trading comps Data tab reflects a slightly later intraday</t>
  </si>
  <si>
    <t xml:space="preserve">quote used for cross-checking — this model uses the Market Cap / Shares calculated figure for full internal consistency.</t>
  </si>
  <si>
    <t xml:space="preserve">IMPORTANT FX NOTE: Moncler reports in EUR, Burberry in GBP. This model converts Burberry's GBP purchase price and financials into EUR at the deal's</t>
  </si>
  <si>
    <t xml:space="preserve">FX rate (see Deal Assumptions tab) BEFORE combining them in the Pro Forma — unlike the trading-comps workbook, an M&amp;A model MUST convert both sides to a</t>
  </si>
  <si>
    <t xml:space="preserve">single currency (the acquirer's reporting currency, EUR) because Pro Forma EPS is a single combined number, not a ratio.</t>
  </si>
  <si>
    <t xml:space="preserve">Deal Assumptions</t>
  </si>
  <si>
    <t xml:space="preserve">Input</t>
  </si>
  <si>
    <t xml:space="preserve">Value</t>
  </si>
  <si>
    <t xml:space="preserve">EUR/GBP FX rate (deal date)</t>
  </si>
  <si>
    <t xml:space="preserve">Bloomberg EUR/GBP, 5 Aug 2026 (same rate as the trading comps build, for consistency)</t>
  </si>
  <si>
    <t xml:space="preserve">Offer price per Burberry share (£)</t>
  </si>
  <si>
    <t xml:space="preserve">Equal to Burberry undisturbed price £10.715 x (1 + 25% premium) — see Deal Premium row below</t>
  </si>
  <si>
    <t xml:space="preserve">Deal premium to undisturbed price</t>
  </si>
  <si>
    <t xml:space="preserve">Mid-point of a typical 20-30% control premium range — analyst assumption, NOT a reported term</t>
  </si>
  <si>
    <t xml:space="preserve">% Cash consideration</t>
  </si>
  <si>
    <t xml:space="preserve">Analyst assumption — illustrative 50/50 structure</t>
  </si>
  <si>
    <t xml:space="preserve">Cost of new acquisition debt (pre-tax)</t>
  </si>
  <si>
    <t xml:space="preserve">UK 10yr Gilt ~5.0% (Aug 2026) + ~50bp corporate spread for a BB+/BBB- rated issuer, illustrative</t>
  </si>
  <si>
    <t xml:space="preserve">Pre-tax annual cost synergies (EUR m)</t>
  </si>
  <si>
    <t xml:space="preserve">Equal to GBP80m x 0.858 FX. GBP80m assumed (~1.7% of Burberry FY2026 revenue) — analyst assumption, see README</t>
  </si>
  <si>
    <t xml:space="preserve">Tax rate (combined entity)</t>
  </si>
  <si>
    <t xml:space="preserve">Blended EU/UK statutory rate assumption for simplicity</t>
  </si>
  <si>
    <t xml:space="preserve">% Stock consideration (linked = 1 - %Cash)</t>
  </si>
  <si>
    <t xml:space="preserve">Purchase Price and New Shares Issued</t>
  </si>
  <si>
    <t xml:space="preserve">Burberry diluted shares (m)</t>
  </si>
  <si>
    <t xml:space="preserve">Purchase Price (£m)</t>
  </si>
  <si>
    <t xml:space="preserve">Purchase Price (EUR m, converted at deal FX)</t>
  </si>
  <si>
    <t xml:space="preserve">Cash consideration (EUR m)</t>
  </si>
  <si>
    <t xml:space="preserve">Stock consideration (EUR m)</t>
  </si>
  <si>
    <t xml:space="preserve">Moncler current share price (EUR)</t>
  </si>
  <si>
    <t xml:space="preserve">New Moncler shares issued (m)</t>
  </si>
  <si>
    <t xml:space="preserve">Target Book Equity (£m)</t>
  </si>
  <si>
    <t xml:space="preserve">Target Book Equity (EUR m)</t>
  </si>
  <si>
    <t xml:space="preserve">Goodwill = Purchase Price - Target Book Equity</t>
  </si>
  <si>
    <t xml:space="preserve">Simplified PPA: no fair-value write-ups on tangible/intangible assets are modelled, so no incremental D&amp;A arises from the deal.</t>
  </si>
  <si>
    <t xml:space="preserve">In a full sell-side/buy-side PPA, brand intangibles and property would typically be revalued, creating amortisable step-ups — a natural 'go deeper' extension.</t>
  </si>
  <si>
    <t xml:space="preserve">Pro Forma Combined Income Statement (EUR m)</t>
  </si>
  <si>
    <t xml:space="preserve">EUR m</t>
  </si>
  <si>
    <t xml:space="preserve">Moncler standalone Net Income (EUR m)</t>
  </si>
  <si>
    <t xml:space="preserve">Burberry standalone Net Income (£m)</t>
  </si>
  <si>
    <t xml:space="preserve">Burberry standalone Net Income (EUR m)</t>
  </si>
  <si>
    <t xml:space="preserve">Add: pre-tax cost synergies (EUR m)</t>
  </si>
  <si>
    <t xml:space="preserve">Less: tax on synergies</t>
  </si>
  <si>
    <t xml:space="preserve">After-tax synergies</t>
  </si>
  <si>
    <t xml:space="preserve">New acquisition debt (EUR m) = cash consideration</t>
  </si>
  <si>
    <t xml:space="preserve">Incremental interest expense (pre-tax)</t>
  </si>
  <si>
    <t xml:space="preserve">Less: tax shield on incremental interest</t>
  </si>
  <si>
    <t xml:space="preserve">After-tax incremental interest expense</t>
  </si>
  <si>
    <t xml:space="preserve">Incremental D&amp;A from deal (simplified PPA = £0)</t>
  </si>
  <si>
    <t xml:space="preserve">Pro Forma Combined Net Income</t>
  </si>
  <si>
    <t xml:space="preserve">Pro Forma NI = Acquirer NI + Target NI (converted to EUR) + after-tax synergies - after-tax incremental interest on new acquisition debt - incremental D&amp;A (nil here).</t>
  </si>
  <si>
    <t xml:space="preserve">Accretion / (Dilution) Analysis</t>
  </si>
  <si>
    <t xml:space="preserve">Moncler standalone diluted shares (m)</t>
  </si>
  <si>
    <t xml:space="preserve">New shares issued in the deal (m)</t>
  </si>
  <si>
    <t xml:space="preserve">Pro Forma diluted shares outstanding (m)</t>
  </si>
  <si>
    <t xml:space="preserve">Pro Forma Combined Net Income (EUR m)</t>
  </si>
  <si>
    <t xml:space="preserve">Pro Forma EPS (EUR)</t>
  </si>
  <si>
    <t xml:space="preserve">Moncler standalone EPS (EUR)</t>
  </si>
  <si>
    <t xml:space="preserve">% Accretion / (Dilution) = Pro Forma EPS / Standalone EPS - 1</t>
  </si>
  <si>
    <t xml:space="preserve">Verdict</t>
  </si>
  <si>
    <t xml:space="preserve">Breakeven synergies needed for the deal to be EPS-neutral</t>
  </si>
  <si>
    <t xml:space="preserve">  (i.e. synergies at which Pro Forma EPS = Standalone EPS)</t>
  </si>
  <si>
    <t xml:space="preserve">Breakeven synergies solved algebraically: sets Pro Forma NI such that Pro Forma EPS = Moncler standalone EPS, then backs out the required PRE-TAX</t>
  </si>
  <si>
    <t xml:space="preserve">synergy figure (dividing the required after-tax synergy contribution by (1 - tax rate)).</t>
  </si>
  <si>
    <t xml:space="preserve">At these assumptions the deal is DILUTIVE (~-25% to Moncler EPS), because Burberry's FY2026 net income (£21m) is still</t>
  </si>
  <si>
    <t xml:space="preserve">severely depressed by turnaround costs relative to the ~£5.4bn purchase price — the earnings being acquired are tiny next to the premium paid. Breakeven</t>
  </si>
  <si>
    <t xml:space="preserve">synergies (~EUR317m pretax) are ~4.6x the EUR68.6m assumed, meaning cost synergies alone cannot make this deal EPS-neutral for Moncler at this price. A real</t>
  </si>
  <si>
    <t xml:space="preserve">acquirer would either need Burberry's earnings recovery to be well underway before signing, a materially lower premium, or a much higher synergy case — this is</t>
  </si>
  <si>
    <t xml:space="preserve">exactly the kind of finding a genuine accretion/dilution analysis exists to surface, not a result to be adjusted away.</t>
  </si>
  <si>
    <t xml:space="preserve">Sensitivity — % Accretion/(Dilution) vs Cash/Stock Mix and Synergies</t>
  </si>
  <si>
    <t xml:space="preserve">% Cash \ Synergies (EUR m)</t>
  </si>
  <si>
    <t xml:space="preserve">Each cell independently recomputes Pro Forma Net Income and Pro Forma shares for that cash/stock split and synergy level, then compares to Moncler's</t>
  </si>
  <si>
    <t xml:space="preserve">standalone EPS — mechanically equivalent to Excel's 2-variable Data Table, built without one to avoid iterative-calculation issues outside Excel.</t>
  </si>
  <si>
    <t xml:space="preserve">Data Sources</t>
  </si>
  <si>
    <t xml:space="preserve">Item</t>
  </si>
  <si>
    <t xml:space="preserve">Source / URL</t>
  </si>
  <si>
    <t xml:space="preserve">Moncler standalone financials</t>
  </si>
  <si>
    <t xml:space="preserve">Companion workbook Burberry_Luxury_Comps_Model_CV.xlsx, Data tab — sourced stockanalysis.com/quote/bit/MONC/statistics/, 5 Aug 2026</t>
  </si>
  <si>
    <t xml:space="preserve">Burberry standalone financials</t>
  </si>
  <si>
    <t xml:space="preserve">https://stockanalysis.com/quote/lon/BRBY/financials/ — pulled 15 Aug 2026</t>
  </si>
  <si>
    <t xml:space="preserve">Burberry current share price</t>
  </si>
  <si>
    <t xml:space="preserve">Trading comps build, Data tab — £10.715, 5 Aug 2026 (used for internal consistency across all models)</t>
  </si>
  <si>
    <t xml:space="preserve">EUR/GBP FX rate</t>
  </si>
  <si>
    <t xml:space="preserve">Bloomberg EUR/GBP — 0.858, 5 Aug 2026 (matches the trading comps build for consistency)</t>
  </si>
  <si>
    <t xml:space="preserve">Cost of new acquisition debt basis</t>
  </si>
  <si>
    <t xml:space="preserve">TradingEconomics UK 10Y Government Bond Yield ~4.97-5.07%, 13 Aug 2026, plus illustrative corporate spread</t>
  </si>
  <si>
    <t xml:space="preserve">Moncler/Burberry deal speculation (context only, not deal terms)</t>
  </si>
  <si>
    <t xml:space="preserve">Reported by Miss Tweed, relayed via Simply Wall St (simplywall.st/stocks/.../burberry-group/future), retrieved 15 Aug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</si>
</sst>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;\-"/>
    <numFmt numFmtId="167" formatCode="#,##0.00"/>
    <numFmt numFmtId="168" formatCode="0.0000"/>
    <numFmt numFmtId="169" formatCode="0.0%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</row>
    <row r="5" customFormat="false" ht="15" hidden="false" customHeight="true" outlineLevel="0" collapsed="false">
      <c r="A5" s="2" t="s">
        <v>2</v>
      </c>
    </row>
    <row r="6" customFormat="false" ht="15" hidden="false" customHeight="true" outlineLevel="0" collapsed="false">
      <c r="A6" s="2" t="s">
        <v>3</v>
      </c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2" t="s">
        <v>5</v>
      </c>
    </row>
    <row r="9" customFormat="false" ht="15" hidden="false" customHeight="true" outlineLevel="0" collapsed="false">
      <c r="A9" s="2" t="s">
        <v>6</v>
      </c>
    </row>
    <row r="10" customFormat="false" ht="15" hidden="false" customHeight="true" outlineLevel="0" collapsed="false">
      <c r="A10" s="2" t="s">
        <v>7</v>
      </c>
    </row>
    <row r="11" customFormat="false" ht="15" hidden="false" customHeight="true" outlineLevel="0" collapsed="false">
      <c r="A11" s="2" t="s">
        <v>8</v>
      </c>
    </row>
    <row r="12" customFormat="false" ht="15" hidden="false" customHeight="true" outlineLevel="0" collapsed="false">
      <c r="A12" s="2" t="s">
        <v>9</v>
      </c>
    </row>
    <row r="14" customFormat="false" ht="15" hidden="false" customHeight="true" outlineLevel="0" collapsed="false">
      <c r="A14" s="2" t="s">
        <v>10</v>
      </c>
    </row>
    <row r="15" customFormat="false" ht="15" hidden="false" customHeight="true" outlineLevel="0" collapsed="false">
      <c r="A15" s="2" t="s">
        <v>11</v>
      </c>
    </row>
    <row r="17" customFormat="false" ht="15" hidden="false" customHeight="true" outlineLevel="0" collapsed="false">
      <c r="A17" s="2" t="s">
        <v>12</v>
      </c>
    </row>
    <row r="18" customFormat="false" ht="15" hidden="false" customHeight="true" outlineLevel="0" collapsed="false">
      <c r="A18" s="2" t="s">
        <v>13</v>
      </c>
    </row>
    <row r="19" customFormat="false" ht="15" hidden="false" customHeight="true" outlineLevel="0" collapsed="false">
      <c r="A19" s="2" t="s">
        <v>14</v>
      </c>
    </row>
    <row r="20" customFormat="false" ht="15" hidden="false" customHeight="true" outlineLevel="0" collapsed="false">
      <c r="A20" s="2" t="s">
        <v>15</v>
      </c>
    </row>
    <row r="21" customFormat="false" ht="15" hidden="false" customHeight="true" outlineLevel="0" collapsed="false">
      <c r="A21" s="2" t="s">
        <v>16</v>
      </c>
    </row>
    <row r="22" customFormat="false" ht="15" hidden="false" customHeight="true" outlineLevel="0" collapsed="false">
      <c r="A22" s="2" t="s">
        <v>17</v>
      </c>
    </row>
    <row r="23" customFormat="false" ht="15" hidden="false" customHeight="true" outlineLevel="0" collapsed="false">
      <c r="A23" s="2" t="s">
        <v>18</v>
      </c>
    </row>
    <row r="24" customFormat="false" ht="15" hidden="false" customHeight="true" outlineLevel="0" collapsed="false">
      <c r="A24" s="2" t="s">
        <v>19</v>
      </c>
    </row>
    <row r="25" customFormat="false" ht="15" hidden="false" customHeight="true" outlineLevel="0" collapsed="false">
      <c r="A25" s="2" t="s">
        <v>20</v>
      </c>
    </row>
    <row r="26" customFormat="false" ht="15" hidden="false" customHeight="true" outlineLevel="0" collapsed="false">
      <c r="A26" s="2" t="s">
        <v>21</v>
      </c>
    </row>
    <row r="27" customFormat="false" ht="15" hidden="false" customHeight="true" outlineLevel="0" collapsed="false">
      <c r="A27" s="2" t="s">
        <v>22</v>
      </c>
    </row>
    <row r="28" customFormat="false" ht="15" hidden="false" customHeight="tru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24</v>
      </c>
    </row>
    <row r="3" customFormat="false" ht="41.75" hidden="false" customHeight="false" outlineLevel="0" collapsed="false">
      <c r="A3" s="3" t="s">
        <v>25</v>
      </c>
      <c r="B3" s="3" t="s">
        <v>26</v>
      </c>
      <c r="C3" s="3" t="s">
        <v>27</v>
      </c>
    </row>
    <row r="4" customFormat="false" ht="15" hidden="false" customHeight="false" outlineLevel="0" collapsed="false">
      <c r="A4" s="2" t="s">
        <v>28</v>
      </c>
      <c r="B4" s="4" t="n">
        <v>626.7</v>
      </c>
      <c r="C4" s="4" t="n">
        <v>21</v>
      </c>
      <c r="D4" s="5" t="s">
        <v>29</v>
      </c>
    </row>
    <row r="5" customFormat="false" ht="15" hidden="false" customHeight="false" outlineLevel="0" collapsed="false">
      <c r="A5" s="2" t="s">
        <v>30</v>
      </c>
      <c r="B5" s="6" t="n">
        <v>271.6</v>
      </c>
      <c r="C5" s="6" t="n">
        <v>358.21</v>
      </c>
      <c r="D5" s="5" t="s">
        <v>31</v>
      </c>
    </row>
    <row r="6" customFormat="false" ht="15" hidden="false" customHeight="false" outlineLevel="0" collapsed="false">
      <c r="A6" s="2" t="s">
        <v>32</v>
      </c>
      <c r="B6" s="7" t="n">
        <f aca="false">B4/B5</f>
        <v>2.30743740795287</v>
      </c>
      <c r="C6" s="7" t="n">
        <f aca="false">C4/C5</f>
        <v>0.0586248290109154</v>
      </c>
      <c r="D6" s="5" t="s">
        <v>33</v>
      </c>
    </row>
    <row r="7" customFormat="false" ht="15" hidden="false" customHeight="false" outlineLevel="0" collapsed="false">
      <c r="A7" s="2" t="s">
        <v>34</v>
      </c>
      <c r="B7" s="8" t="n">
        <f aca="false">B8/B5</f>
        <v>55.3019145802651</v>
      </c>
      <c r="C7" s="9" t="n">
        <v>10.715</v>
      </c>
      <c r="D7" s="5" t="s">
        <v>35</v>
      </c>
    </row>
    <row r="8" customFormat="false" ht="15" hidden="false" customHeight="false" outlineLevel="0" collapsed="false">
      <c r="A8" s="2" t="s">
        <v>36</v>
      </c>
      <c r="B8" s="4" t="n">
        <v>15020</v>
      </c>
      <c r="C8" s="4" t="n">
        <v>3830</v>
      </c>
      <c r="D8" s="5" t="s">
        <v>37</v>
      </c>
    </row>
    <row r="9" customFormat="false" ht="15" hidden="false" customHeight="false" outlineLevel="0" collapsed="false">
      <c r="A9" s="2" t="s">
        <v>38</v>
      </c>
      <c r="C9" s="4" t="n">
        <v>940</v>
      </c>
      <c r="D9" s="5" t="s">
        <v>39</v>
      </c>
    </row>
    <row r="11" customFormat="false" ht="15" hidden="false" customHeight="false" outlineLevel="0" collapsed="false">
      <c r="A11" s="5" t="s">
        <v>40</v>
      </c>
    </row>
    <row r="12" customFormat="false" ht="15" hidden="false" customHeight="false" outlineLevel="0" collapsed="false">
      <c r="A12" s="5" t="s">
        <v>41</v>
      </c>
    </row>
    <row r="13" customFormat="false" ht="15" hidden="false" customHeight="false" outlineLevel="0" collapsed="false">
      <c r="A13" s="5" t="s">
        <v>42</v>
      </c>
    </row>
    <row r="15" customFormat="false" ht="15" hidden="false" customHeight="false" outlineLevel="0" collapsed="false">
      <c r="A15" s="5" t="s">
        <v>43</v>
      </c>
    </row>
    <row r="16" customFormat="false" ht="15" hidden="false" customHeight="false" outlineLevel="0" collapsed="false">
      <c r="A16" s="5" t="s">
        <v>44</v>
      </c>
    </row>
    <row r="17" customFormat="false" ht="15" hidden="false" customHeight="false" outlineLevel="0" collapsed="false">
      <c r="A17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3" t="s">
        <v>47</v>
      </c>
      <c r="B3" s="3" t="s">
        <v>48</v>
      </c>
    </row>
    <row r="4" customFormat="false" ht="15" hidden="false" customHeight="false" outlineLevel="0" collapsed="false">
      <c r="A4" s="2" t="s">
        <v>49</v>
      </c>
      <c r="B4" s="10" t="n">
        <v>0.858</v>
      </c>
      <c r="C4" s="5" t="s">
        <v>50</v>
      </c>
    </row>
    <row r="5" customFormat="false" ht="15" hidden="false" customHeight="false" outlineLevel="0" collapsed="false">
      <c r="A5" s="2" t="s">
        <v>51</v>
      </c>
      <c r="B5" s="9" t="n">
        <v>13.39</v>
      </c>
      <c r="C5" s="5" t="s">
        <v>52</v>
      </c>
    </row>
    <row r="6" customFormat="false" ht="15" hidden="false" customHeight="false" outlineLevel="0" collapsed="false">
      <c r="A6" s="2" t="s">
        <v>53</v>
      </c>
      <c r="B6" s="11" t="n">
        <v>0.25</v>
      </c>
      <c r="C6" s="5" t="s">
        <v>54</v>
      </c>
    </row>
    <row r="7" customFormat="false" ht="15" hidden="false" customHeight="false" outlineLevel="0" collapsed="false">
      <c r="A7" s="2" t="s">
        <v>55</v>
      </c>
      <c r="B7" s="11" t="n">
        <v>0.5</v>
      </c>
      <c r="C7" s="5" t="s">
        <v>56</v>
      </c>
    </row>
    <row r="8" customFormat="false" ht="15" hidden="false" customHeight="false" outlineLevel="0" collapsed="false">
      <c r="A8" s="2" t="s">
        <v>57</v>
      </c>
      <c r="B8" s="12" t="n">
        <v>0.055</v>
      </c>
      <c r="C8" s="5" t="s">
        <v>58</v>
      </c>
    </row>
    <row r="9" customFormat="false" ht="15" hidden="false" customHeight="false" outlineLevel="0" collapsed="false">
      <c r="A9" s="2" t="s">
        <v>59</v>
      </c>
      <c r="B9" s="4" t="n">
        <v>68.6</v>
      </c>
      <c r="C9" s="5" t="s">
        <v>60</v>
      </c>
    </row>
    <row r="10" customFormat="false" ht="15" hidden="false" customHeight="false" outlineLevel="0" collapsed="false">
      <c r="A10" s="2" t="s">
        <v>61</v>
      </c>
      <c r="B10" s="11" t="n">
        <v>0.25</v>
      </c>
      <c r="C10" s="5" t="s">
        <v>62</v>
      </c>
    </row>
    <row r="12" customFormat="false" ht="15" hidden="false" customHeight="false" outlineLevel="0" collapsed="false">
      <c r="A12" s="2" t="s">
        <v>63</v>
      </c>
      <c r="B12" s="13" t="n">
        <f aca="false">1-B7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/>
      <c r="B3" s="3" t="s">
        <v>48</v>
      </c>
    </row>
    <row r="4" customFormat="false" ht="15" hidden="false" customHeight="false" outlineLevel="0" collapsed="false">
      <c r="A4" s="2" t="s">
        <v>51</v>
      </c>
      <c r="B4" s="14" t="n">
        <f aca="false">'Deal Assumptions'!B5</f>
        <v>13.39</v>
      </c>
    </row>
    <row r="5" customFormat="false" ht="15" hidden="false" customHeight="false" outlineLevel="0" collapsed="false">
      <c r="A5" s="2" t="s">
        <v>65</v>
      </c>
      <c r="B5" s="15" t="n">
        <f aca="false">'Standalone Financials'!C5</f>
        <v>358.21</v>
      </c>
    </row>
    <row r="6" customFormat="false" ht="15" hidden="false" customHeight="false" outlineLevel="0" collapsed="false">
      <c r="A6" s="16" t="s">
        <v>66</v>
      </c>
      <c r="B6" s="17" t="n">
        <f aca="false">B4*B5</f>
        <v>4796.4319</v>
      </c>
    </row>
    <row r="7" customFormat="false" ht="15" hidden="false" customHeight="false" outlineLevel="0" collapsed="false">
      <c r="A7" s="16" t="s">
        <v>67</v>
      </c>
      <c r="B7" s="18" t="n">
        <f aca="false">B6/'Deal Assumptions'!B4</f>
        <v>5590.24696969697</v>
      </c>
    </row>
    <row r="9" customFormat="false" ht="15" hidden="false" customHeight="false" outlineLevel="0" collapsed="false">
      <c r="A9" s="2" t="s">
        <v>68</v>
      </c>
      <c r="B9" s="19" t="n">
        <f aca="false">B7*'Deal Assumptions'!B7</f>
        <v>2795.12348484848</v>
      </c>
    </row>
    <row r="10" customFormat="false" ht="15" hidden="false" customHeight="false" outlineLevel="0" collapsed="false">
      <c r="A10" s="2" t="s">
        <v>69</v>
      </c>
      <c r="B10" s="19" t="n">
        <f aca="false">B7*'Deal Assumptions'!B12</f>
        <v>2795.12348484848</v>
      </c>
    </row>
    <row r="11" customFormat="false" ht="15" hidden="false" customHeight="false" outlineLevel="0" collapsed="false">
      <c r="A11" s="2" t="s">
        <v>70</v>
      </c>
      <c r="B11" s="14" t="n">
        <f aca="false">'Standalone Financials'!B7</f>
        <v>55.3019145802651</v>
      </c>
    </row>
    <row r="12" customFormat="false" ht="15" hidden="false" customHeight="false" outlineLevel="0" collapsed="false">
      <c r="A12" s="16" t="s">
        <v>71</v>
      </c>
      <c r="B12" s="7" t="n">
        <f aca="false">B10/B11</f>
        <v>50.5429785941976</v>
      </c>
    </row>
    <row r="14" customFormat="false" ht="15" hidden="false" customHeight="false" outlineLevel="0" collapsed="false">
      <c r="A14" s="2" t="s">
        <v>72</v>
      </c>
      <c r="B14" s="19" t="n">
        <f aca="false">'Standalone Financials'!C9</f>
        <v>940</v>
      </c>
    </row>
    <row r="15" customFormat="false" ht="15" hidden="false" customHeight="false" outlineLevel="0" collapsed="false">
      <c r="A15" s="2" t="s">
        <v>73</v>
      </c>
      <c r="B15" s="19" t="n">
        <f aca="false">B14/'Deal Assumptions'!B4</f>
        <v>1095.5710955711</v>
      </c>
    </row>
    <row r="16" customFormat="false" ht="15" hidden="false" customHeight="false" outlineLevel="0" collapsed="false">
      <c r="A16" s="16" t="s">
        <v>74</v>
      </c>
      <c r="B16" s="18" t="n">
        <f aca="false">B7-B15</f>
        <v>4494.67587412587</v>
      </c>
    </row>
    <row r="18" customFormat="false" ht="15" hidden="false" customHeight="false" outlineLevel="0" collapsed="false">
      <c r="A18" s="5" t="s">
        <v>75</v>
      </c>
    </row>
    <row r="19" customFormat="false" ht="15" hidden="false" customHeight="false" outlineLevel="0" collapsed="false">
      <c r="A19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3"/>
      <c r="B3" s="3" t="s">
        <v>78</v>
      </c>
    </row>
    <row r="4" customFormat="false" ht="15" hidden="false" customHeight="false" outlineLevel="0" collapsed="false">
      <c r="A4" s="2" t="s">
        <v>79</v>
      </c>
      <c r="B4" s="19" t="n">
        <f aca="false">'Standalone Financials'!B4</f>
        <v>626.7</v>
      </c>
    </row>
    <row r="5" customFormat="false" ht="15" hidden="false" customHeight="false" outlineLevel="0" collapsed="false">
      <c r="A5" s="2" t="s">
        <v>80</v>
      </c>
      <c r="B5" s="19" t="n">
        <f aca="false">'Standalone Financials'!C4</f>
        <v>21</v>
      </c>
    </row>
    <row r="6" customFormat="false" ht="15" hidden="false" customHeight="false" outlineLevel="0" collapsed="false">
      <c r="A6" s="2" t="s">
        <v>81</v>
      </c>
      <c r="B6" s="19" t="n">
        <f aca="false">B5/'Deal Assumptions'!B4</f>
        <v>24.4755244755245</v>
      </c>
    </row>
    <row r="7" customFormat="false" ht="15" hidden="false" customHeight="false" outlineLevel="0" collapsed="false">
      <c r="A7" s="2" t="s">
        <v>82</v>
      </c>
      <c r="B7" s="19" t="n">
        <f aca="false">'Deal Assumptions'!B9</f>
        <v>68.6</v>
      </c>
    </row>
    <row r="8" customFormat="false" ht="15" hidden="false" customHeight="false" outlineLevel="0" collapsed="false">
      <c r="A8" s="2" t="s">
        <v>83</v>
      </c>
      <c r="B8" s="19" t="n">
        <f aca="false">-B7*'Deal Assumptions'!B10</f>
        <v>-17.15</v>
      </c>
    </row>
    <row r="9" customFormat="false" ht="15" hidden="false" customHeight="false" outlineLevel="0" collapsed="false">
      <c r="A9" s="2" t="s">
        <v>84</v>
      </c>
      <c r="B9" s="19" t="n">
        <f aca="false">B7+B8</f>
        <v>51.45</v>
      </c>
    </row>
    <row r="11" customFormat="false" ht="15" hidden="false" customHeight="false" outlineLevel="0" collapsed="false">
      <c r="A11" s="2" t="s">
        <v>85</v>
      </c>
      <c r="B11" s="19" t="n">
        <f aca="false">'Purchase Price Allocation'!B9</f>
        <v>2795.12348484848</v>
      </c>
    </row>
    <row r="12" customFormat="false" ht="15" hidden="false" customHeight="false" outlineLevel="0" collapsed="false">
      <c r="A12" s="2" t="s">
        <v>86</v>
      </c>
      <c r="B12" s="19" t="n">
        <f aca="false">B11*'Deal Assumptions'!B8</f>
        <v>153.731791666667</v>
      </c>
    </row>
    <row r="13" customFormat="false" ht="15" hidden="false" customHeight="false" outlineLevel="0" collapsed="false">
      <c r="A13" s="2" t="s">
        <v>87</v>
      </c>
      <c r="B13" s="19" t="n">
        <f aca="false">-B12*'Deal Assumptions'!B10</f>
        <v>-38.4329479166667</v>
      </c>
    </row>
    <row r="14" customFormat="false" ht="15" hidden="false" customHeight="false" outlineLevel="0" collapsed="false">
      <c r="A14" s="2" t="s">
        <v>88</v>
      </c>
      <c r="B14" s="19" t="n">
        <f aca="false">B12+B13</f>
        <v>115.29884375</v>
      </c>
    </row>
    <row r="16" customFormat="false" ht="15" hidden="false" customHeight="false" outlineLevel="0" collapsed="false">
      <c r="A16" s="2" t="s">
        <v>89</v>
      </c>
      <c r="B16" s="19" t="n">
        <f aca="false">0</f>
        <v>0</v>
      </c>
    </row>
    <row r="18" customFormat="false" ht="15" hidden="false" customHeight="false" outlineLevel="0" collapsed="false">
      <c r="A18" s="16" t="s">
        <v>90</v>
      </c>
      <c r="B18" s="18" t="n">
        <f aca="false">B4+B6+B9-B14-B16</f>
        <v>587.326680725525</v>
      </c>
    </row>
    <row r="20" customFormat="false" ht="15" hidden="false" customHeight="false" outlineLevel="0" collapsed="false">
      <c r="A20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92</v>
      </c>
    </row>
    <row r="3" customFormat="false" ht="15" hidden="false" customHeight="false" outlineLevel="0" collapsed="false">
      <c r="A3" s="3"/>
      <c r="B3" s="3" t="s">
        <v>48</v>
      </c>
    </row>
    <row r="4" customFormat="false" ht="15" hidden="false" customHeight="false" outlineLevel="0" collapsed="false">
      <c r="A4" s="2" t="s">
        <v>93</v>
      </c>
      <c r="B4" s="15" t="n">
        <f aca="false">'Standalone Financials'!B5</f>
        <v>271.6</v>
      </c>
    </row>
    <row r="5" customFormat="false" ht="15" hidden="false" customHeight="false" outlineLevel="0" collapsed="false">
      <c r="A5" s="2" t="s">
        <v>94</v>
      </c>
      <c r="B5" s="15" t="n">
        <f aca="false">'Purchase Price Allocation'!B12</f>
        <v>50.5429785941976</v>
      </c>
    </row>
    <row r="6" customFormat="false" ht="15" hidden="false" customHeight="false" outlineLevel="0" collapsed="false">
      <c r="A6" s="16" t="s">
        <v>95</v>
      </c>
      <c r="B6" s="7" t="n">
        <f aca="false">B4+B5</f>
        <v>322.142978594198</v>
      </c>
    </row>
    <row r="8" customFormat="false" ht="15" hidden="false" customHeight="false" outlineLevel="0" collapsed="false">
      <c r="A8" s="2" t="s">
        <v>96</v>
      </c>
      <c r="B8" s="19" t="n">
        <f aca="false">'Pro Forma'!B18</f>
        <v>587.326680725525</v>
      </c>
    </row>
    <row r="9" customFormat="false" ht="15" hidden="false" customHeight="false" outlineLevel="0" collapsed="false">
      <c r="A9" s="16" t="s">
        <v>97</v>
      </c>
      <c r="B9" s="20" t="n">
        <f aca="false">B8/B6</f>
        <v>1.82318634815064</v>
      </c>
    </row>
    <row r="11" customFormat="false" ht="15" hidden="false" customHeight="false" outlineLevel="0" collapsed="false">
      <c r="A11" s="2" t="s">
        <v>98</v>
      </c>
      <c r="B11" s="15" t="n">
        <f aca="false">'Standalone Financials'!B6</f>
        <v>2.30743740795287</v>
      </c>
    </row>
    <row r="12" customFormat="false" ht="15" hidden="false" customHeight="false" outlineLevel="0" collapsed="false">
      <c r="A12" s="16" t="s">
        <v>99</v>
      </c>
      <c r="B12" s="21" t="n">
        <f aca="false">B9/B11-1</f>
        <v>-0.209865306912855</v>
      </c>
    </row>
    <row r="14" customFormat="false" ht="15" hidden="false" customHeight="false" outlineLevel="0" collapsed="false">
      <c r="A14" s="2" t="s">
        <v>100</v>
      </c>
      <c r="B14" s="16" t="str">
        <f aca="false">IF(B12&gt;0,"ACCRETIVE to Moncler EPS","DILUTIVE to Moncler EPS")</f>
        <v>DILUTIVE to Moncler EPS</v>
      </c>
    </row>
    <row r="16" customFormat="false" ht="15" hidden="false" customHeight="false" outlineLevel="0" collapsed="false">
      <c r="A16" s="16" t="s">
        <v>101</v>
      </c>
    </row>
    <row r="17" customFormat="false" ht="15" hidden="false" customHeight="false" outlineLevel="0" collapsed="false">
      <c r="A17" s="2" t="s">
        <v>102</v>
      </c>
      <c r="B17" s="17" t="n">
        <f aca="false">(('Standalone Financials'!B6*B6)-('Pro Forma'!B4+'Pro Forma'!B6-'Pro Forma'!B14-'Pro Forma'!B16))/(1-'Deal Assumptions'!B10)</f>
        <v>276.597438389451</v>
      </c>
    </row>
    <row r="19" customFormat="false" ht="15" hidden="false" customHeight="false" outlineLevel="0" collapsed="false">
      <c r="A19" s="5" t="s">
        <v>103</v>
      </c>
    </row>
    <row r="20" customFormat="false" ht="15" hidden="false" customHeight="false" outlineLevel="0" collapsed="false">
      <c r="A20" s="5" t="s">
        <v>104</v>
      </c>
    </row>
    <row r="22" customFormat="false" ht="15" hidden="false" customHeight="false" outlineLevel="0" collapsed="false">
      <c r="A22" s="5" t="s">
        <v>105</v>
      </c>
    </row>
    <row r="23" customFormat="false" ht="15" hidden="false" customHeight="false" outlineLevel="0" collapsed="false">
      <c r="A23" s="5" t="s">
        <v>106</v>
      </c>
    </row>
    <row r="24" customFormat="false" ht="15" hidden="false" customHeight="false" outlineLevel="0" collapsed="false">
      <c r="A24" s="5" t="s">
        <v>107</v>
      </c>
    </row>
    <row r="25" customFormat="false" ht="15" hidden="false" customHeight="false" outlineLevel="0" collapsed="false">
      <c r="A25" s="5" t="s">
        <v>108</v>
      </c>
    </row>
    <row r="26" customFormat="false" ht="15" hidden="false" customHeight="false" outlineLevel="0" collapsed="false">
      <c r="A26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6" t="s">
        <v>111</v>
      </c>
      <c r="B3" s="17" t="n">
        <v>0</v>
      </c>
      <c r="C3" s="17" t="n">
        <v>34.3</v>
      </c>
      <c r="D3" s="17" t="n">
        <v>68.6</v>
      </c>
      <c r="E3" s="17" t="n">
        <v>102.9</v>
      </c>
      <c r="F3" s="17" t="n">
        <v>137.2</v>
      </c>
    </row>
    <row r="4" customFormat="false" ht="15" hidden="false" customHeight="false" outlineLevel="0" collapsed="false">
      <c r="A4" s="22" t="n">
        <v>0</v>
      </c>
      <c r="B4" s="13" t="n">
        <f aca="false">((('Standalone Financials'!$B$4+'Standalone Financials'!$C$4/'Deal Assumptions'!$B$4+B$3*(1-'Deal Assumptions'!$B$10)-('Purchase Price Allocation'!$B$7*$A4)*'Deal Assumptions'!$B$8*(1-'Deal Assumptions'!$B$10))/('Standalone Financials'!$B$5+('Purchase Price Allocation'!$B$7*(1-$A4))/'Standalone Financials'!$B$7))/'Standalone Financials'!$B$6-1)</f>
        <v>-0.24277470937355</v>
      </c>
      <c r="C4" s="13" t="n">
        <f aca="false">((('Standalone Financials'!$B$4+'Standalone Financials'!$C$4/'Deal Assumptions'!$B$4+C$3*(1-'Deal Assumptions'!$B$10)-('Purchase Price Allocation'!$B$7*$A4)*'Deal Assumptions'!$B$8*(1-'Deal Assumptions'!$B$10))/('Standalone Financials'!$B$5+('Purchase Price Allocation'!$B$7*(1-$A4))/'Standalone Financials'!$B$7))/'Standalone Financials'!$B$6-1)</f>
        <v>-0.212860162727997</v>
      </c>
      <c r="D4" s="13" t="n">
        <f aca="false">((('Standalone Financials'!$B$4+'Standalone Financials'!$C$4/'Deal Assumptions'!$B$4+D$3*(1-'Deal Assumptions'!$B$10)-('Purchase Price Allocation'!$B$7*$A4)*'Deal Assumptions'!$B$8*(1-'Deal Assumptions'!$B$10))/('Standalone Financials'!$B$5+('Purchase Price Allocation'!$B$7*(1-$A4))/'Standalone Financials'!$B$7))/'Standalone Financials'!$B$6-1)</f>
        <v>-0.182945616082444</v>
      </c>
      <c r="E4" s="13" t="n">
        <f aca="false">((('Standalone Financials'!$B$4+'Standalone Financials'!$C$4/'Deal Assumptions'!$B$4+E$3*(1-'Deal Assumptions'!$B$10)-('Purchase Price Allocation'!$B$7*$A4)*'Deal Assumptions'!$B$8*(1-'Deal Assumptions'!$B$10))/('Standalone Financials'!$B$5+('Purchase Price Allocation'!$B$7*(1-$A4))/'Standalone Financials'!$B$7))/'Standalone Financials'!$B$6-1)</f>
        <v>-0.153031069436892</v>
      </c>
      <c r="F4" s="13" t="n">
        <f aca="false">((('Standalone Financials'!$B$4+'Standalone Financials'!$C$4/'Deal Assumptions'!$B$4+F$3*(1-'Deal Assumptions'!$B$10)-('Purchase Price Allocation'!$B$7*$A4)*'Deal Assumptions'!$B$8*(1-'Deal Assumptions'!$B$10))/('Standalone Financials'!$B$5+('Purchase Price Allocation'!$B$7*(1-$A4))/'Standalone Financials'!$B$7))/'Standalone Financials'!$B$6-1)</f>
        <v>-0.123116522791339</v>
      </c>
    </row>
    <row r="5" customFormat="false" ht="15" hidden="false" customHeight="false" outlineLevel="0" collapsed="false">
      <c r="A5" s="22" t="n">
        <v>0.25</v>
      </c>
      <c r="B5" s="13" t="n">
        <f aca="false">((('Standalone Financials'!$B$4+'Standalone Financials'!$C$4/'Deal Assumptions'!$B$4+B$3*(1-'Deal Assumptions'!$B$10)-('Purchase Price Allocation'!$B$7*$A5)*'Deal Assumptions'!$B$8*(1-'Deal Assumptions'!$B$10))/('Standalone Financials'!$B$5+('Purchase Price Allocation'!$B$7*(1-$A5))/'Standalone Financials'!$B$7))/'Standalone Financials'!$B$6-1)</f>
        <v>-0.25960752874267</v>
      </c>
      <c r="C5" s="13" t="n">
        <f aca="false">((('Standalone Financials'!$B$4+'Standalone Financials'!$C$4/'Deal Assumptions'!$B$4+C$3*(1-'Deal Assumptions'!$B$10)-('Purchase Price Allocation'!$B$7*$A5)*'Deal Assumptions'!$B$8*(1-'Deal Assumptions'!$B$10))/('Standalone Financials'!$B$5+('Purchase Price Allocation'!$B$7*(1-$A5))/'Standalone Financials'!$B$7))/'Standalone Financials'!$B$6-1)</f>
        <v>-0.22751694967691</v>
      </c>
      <c r="D5" s="13" t="n">
        <f aca="false">((('Standalone Financials'!$B$4+'Standalone Financials'!$C$4/'Deal Assumptions'!$B$4+D$3*(1-'Deal Assumptions'!$B$10)-('Purchase Price Allocation'!$B$7*$A5)*'Deal Assumptions'!$B$8*(1-'Deal Assumptions'!$B$10))/('Standalone Financials'!$B$5+('Purchase Price Allocation'!$B$7*(1-$A5))/'Standalone Financials'!$B$7))/'Standalone Financials'!$B$6-1)</f>
        <v>-0.195426370611149</v>
      </c>
      <c r="E5" s="13" t="n">
        <f aca="false">((('Standalone Financials'!$B$4+'Standalone Financials'!$C$4/'Deal Assumptions'!$B$4+E$3*(1-'Deal Assumptions'!$B$10)-('Purchase Price Allocation'!$B$7*$A5)*'Deal Assumptions'!$B$8*(1-'Deal Assumptions'!$B$10))/('Standalone Financials'!$B$5+('Purchase Price Allocation'!$B$7*(1-$A5))/'Standalone Financials'!$B$7))/'Standalone Financials'!$B$6-1)</f>
        <v>-0.163335791545388</v>
      </c>
      <c r="F5" s="13" t="n">
        <f aca="false">((('Standalone Financials'!$B$4+'Standalone Financials'!$C$4/'Deal Assumptions'!$B$4+F$3*(1-'Deal Assumptions'!$B$10)-('Purchase Price Allocation'!$B$7*$A5)*'Deal Assumptions'!$B$8*(1-'Deal Assumptions'!$B$10))/('Standalone Financials'!$B$5+('Purchase Price Allocation'!$B$7*(1-$A5))/'Standalone Financials'!$B$7))/'Standalone Financials'!$B$6-1)</f>
        <v>-0.131245212479628</v>
      </c>
    </row>
    <row r="6" customFormat="false" ht="15" hidden="false" customHeight="false" outlineLevel="0" collapsed="false">
      <c r="A6" s="22" t="n">
        <v>0.5</v>
      </c>
      <c r="B6" s="13" t="n">
        <f aca="false">((('Standalone Financials'!$B$4+'Standalone Financials'!$C$4/'Deal Assumptions'!$B$4+B$3*(1-'Deal Assumptions'!$B$10)-('Purchase Price Allocation'!$B$7*$A6)*'Deal Assumptions'!$B$8*(1-'Deal Assumptions'!$B$10))/('Standalone Financials'!$B$5+('Purchase Price Allocation'!$B$7*(1-$A6))/'Standalone Financials'!$B$7))/'Standalone Financials'!$B$6-1)</f>
        <v>-0.279081351906956</v>
      </c>
      <c r="C6" s="13" t="n">
        <f aca="false">((('Standalone Financials'!$B$4+'Standalone Financials'!$C$4/'Deal Assumptions'!$B$4+C$3*(1-'Deal Assumptions'!$B$10)-('Purchase Price Allocation'!$B$7*$A6)*'Deal Assumptions'!$B$8*(1-'Deal Assumptions'!$B$10))/('Standalone Financials'!$B$5+('Purchase Price Allocation'!$B$7*(1-$A6))/'Standalone Financials'!$B$7))/'Standalone Financials'!$B$6-1)</f>
        <v>-0.244473329409906</v>
      </c>
      <c r="D6" s="13" t="n">
        <f aca="false">((('Standalone Financials'!$B$4+'Standalone Financials'!$C$4/'Deal Assumptions'!$B$4+D$3*(1-'Deal Assumptions'!$B$10)-('Purchase Price Allocation'!$B$7*$A6)*'Deal Assumptions'!$B$8*(1-'Deal Assumptions'!$B$10))/('Standalone Financials'!$B$5+('Purchase Price Allocation'!$B$7*(1-$A6))/'Standalone Financials'!$B$7))/'Standalone Financials'!$B$6-1)</f>
        <v>-0.209865306912855</v>
      </c>
      <c r="E6" s="13" t="n">
        <f aca="false">((('Standalone Financials'!$B$4+'Standalone Financials'!$C$4/'Deal Assumptions'!$B$4+E$3*(1-'Deal Assumptions'!$B$10)-('Purchase Price Allocation'!$B$7*$A6)*'Deal Assumptions'!$B$8*(1-'Deal Assumptions'!$B$10))/('Standalone Financials'!$B$5+('Purchase Price Allocation'!$B$7*(1-$A6))/'Standalone Financials'!$B$7))/'Standalone Financials'!$B$6-1)</f>
        <v>-0.175257284415805</v>
      </c>
      <c r="F6" s="13" t="n">
        <f aca="false">((('Standalone Financials'!$B$4+'Standalone Financials'!$C$4/'Deal Assumptions'!$B$4+F$3*(1-'Deal Assumptions'!$B$10)-('Purchase Price Allocation'!$B$7*$A6)*'Deal Assumptions'!$B$8*(1-'Deal Assumptions'!$B$10))/('Standalone Financials'!$B$5+('Purchase Price Allocation'!$B$7*(1-$A6))/'Standalone Financials'!$B$7))/'Standalone Financials'!$B$6-1)</f>
        <v>-0.140649261918755</v>
      </c>
    </row>
    <row r="7" customFormat="false" ht="15" hidden="false" customHeight="false" outlineLevel="0" collapsed="false">
      <c r="A7" s="22" t="n">
        <v>0.75</v>
      </c>
      <c r="B7" s="13" t="n">
        <f aca="false">((('Standalone Financials'!$B$4+'Standalone Financials'!$C$4/'Deal Assumptions'!$B$4+B$3*(1-'Deal Assumptions'!$B$10)-('Purchase Price Allocation'!$B$7*$A7)*'Deal Assumptions'!$B$8*(1-'Deal Assumptions'!$B$10))/('Standalone Financials'!$B$5+('Purchase Price Allocation'!$B$7*(1-$A7))/'Standalone Financials'!$B$7))/'Standalone Financials'!$B$6-1)</f>
        <v>-0.301870633317738</v>
      </c>
      <c r="C7" s="13" t="n">
        <f aca="false">((('Standalone Financials'!$B$4+'Standalone Financials'!$C$4/'Deal Assumptions'!$B$4+C$3*(1-'Deal Assumptions'!$B$10)-('Purchase Price Allocation'!$B$7*$A7)*'Deal Assumptions'!$B$8*(1-'Deal Assumptions'!$B$10))/('Standalone Financials'!$B$5+('Purchase Price Allocation'!$B$7*(1-$A7))/'Standalone Financials'!$B$7))/'Standalone Financials'!$B$6-1)</f>
        <v>-0.264316567493325</v>
      </c>
      <c r="D7" s="13" t="n">
        <f aca="false">((('Standalone Financials'!$B$4+'Standalone Financials'!$C$4/'Deal Assumptions'!$B$4+D$3*(1-'Deal Assumptions'!$B$10)-('Purchase Price Allocation'!$B$7*$A7)*'Deal Assumptions'!$B$8*(1-'Deal Assumptions'!$B$10))/('Standalone Financials'!$B$5+('Purchase Price Allocation'!$B$7*(1-$A7))/'Standalone Financials'!$B$7))/'Standalone Financials'!$B$6-1)</f>
        <v>-0.226762501668912</v>
      </c>
      <c r="E7" s="13" t="n">
        <f aca="false">((('Standalone Financials'!$B$4+'Standalone Financials'!$C$4/'Deal Assumptions'!$B$4+E$3*(1-'Deal Assumptions'!$B$10)-('Purchase Price Allocation'!$B$7*$A7)*'Deal Assumptions'!$B$8*(1-'Deal Assumptions'!$B$10))/('Standalone Financials'!$B$5+('Purchase Price Allocation'!$B$7*(1-$A7))/'Standalone Financials'!$B$7))/'Standalone Financials'!$B$6-1)</f>
        <v>-0.189208435844499</v>
      </c>
      <c r="F7" s="13" t="n">
        <f aca="false">((('Standalone Financials'!$B$4+'Standalone Financials'!$C$4/'Deal Assumptions'!$B$4+F$3*(1-'Deal Assumptions'!$B$10)-('Purchase Price Allocation'!$B$7*$A7)*'Deal Assumptions'!$B$8*(1-'Deal Assumptions'!$B$10))/('Standalone Financials'!$B$5+('Purchase Price Allocation'!$B$7*(1-$A7))/'Standalone Financials'!$B$7))/'Standalone Financials'!$B$6-1)</f>
        <v>-0.151654370020086</v>
      </c>
    </row>
    <row r="8" customFormat="false" ht="15" hidden="false" customHeight="false" outlineLevel="0" collapsed="false">
      <c r="A8" s="22" t="n">
        <v>1</v>
      </c>
      <c r="B8" s="13" t="n">
        <f aca="false">((('Standalone Financials'!$B$4+'Standalone Financials'!$C$4/'Deal Assumptions'!$B$4+B$3*(1-'Deal Assumptions'!$B$10)-('Purchase Price Allocation'!$B$7*$A8)*'Deal Assumptions'!$B$8*(1-'Deal Assumptions'!$B$10))/('Standalone Financials'!$B$5+('Purchase Price Allocation'!$B$7*(1-$A8))/'Standalone Financials'!$B$7))/'Standalone Financials'!$B$6-1)</f>
        <v>-0.328900850525731</v>
      </c>
      <c r="C8" s="13" t="n">
        <f aca="false">((('Standalone Financials'!$B$4+'Standalone Financials'!$C$4/'Deal Assumptions'!$B$4+C$3*(1-'Deal Assumptions'!$B$10)-('Purchase Price Allocation'!$B$7*$A8)*'Deal Assumptions'!$B$8*(1-'Deal Assumptions'!$B$10))/('Standalone Financials'!$B$5+('Purchase Price Allocation'!$B$7*(1-$A8))/'Standalone Financials'!$B$7))/'Standalone Financials'!$B$6-1)</f>
        <v>-0.287852502033629</v>
      </c>
      <c r="D8" s="13" t="n">
        <f aca="false">((('Standalone Financials'!$B$4+'Standalone Financials'!$C$4/'Deal Assumptions'!$B$4+D$3*(1-'Deal Assumptions'!$B$10)-('Purchase Price Allocation'!$B$7*$A8)*'Deal Assumptions'!$B$8*(1-'Deal Assumptions'!$B$10))/('Standalone Financials'!$B$5+('Purchase Price Allocation'!$B$7*(1-$A8))/'Standalone Financials'!$B$7))/'Standalone Financials'!$B$6-1)</f>
        <v>-0.246804153541528</v>
      </c>
      <c r="E8" s="13" t="n">
        <f aca="false">((('Standalone Financials'!$B$4+'Standalone Financials'!$C$4/'Deal Assumptions'!$B$4+E$3*(1-'Deal Assumptions'!$B$10)-('Purchase Price Allocation'!$B$7*$A8)*'Deal Assumptions'!$B$8*(1-'Deal Assumptions'!$B$10))/('Standalone Financials'!$B$5+('Purchase Price Allocation'!$B$7*(1-$A8))/'Standalone Financials'!$B$7))/'Standalone Financials'!$B$6-1)</f>
        <v>-0.205755805049426</v>
      </c>
      <c r="F8" s="13" t="n">
        <f aca="false">((('Standalone Financials'!$B$4+'Standalone Financials'!$C$4/'Deal Assumptions'!$B$4+F$3*(1-'Deal Assumptions'!$B$10)-('Purchase Price Allocation'!$B$7*$A8)*'Deal Assumptions'!$B$8*(1-'Deal Assumptions'!$B$10))/('Standalone Financials'!$B$5+('Purchase Price Allocation'!$B$7*(1-$A8))/'Standalone Financials'!$B$7))/'Standalone Financials'!$B$6-1)</f>
        <v>-0.164707456557325</v>
      </c>
    </row>
    <row r="10" customFormat="false" ht="15" hidden="false" customHeight="false" outlineLevel="0" collapsed="false">
      <c r="A10" s="5" t="s">
        <v>112</v>
      </c>
    </row>
    <row r="11" customFormat="false" ht="15" hidden="false" customHeight="false" outlineLevel="0" collapsed="false">
      <c r="A11" s="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3" t="s">
        <v>115</v>
      </c>
      <c r="B3" s="3" t="s">
        <v>116</v>
      </c>
    </row>
    <row r="4" customFormat="false" ht="15" hidden="false" customHeight="true" outlineLevel="0" collapsed="false">
      <c r="A4" s="2" t="s">
        <v>117</v>
      </c>
      <c r="B4" s="23" t="s">
        <v>118</v>
      </c>
    </row>
    <row r="5" customFormat="false" ht="15" hidden="false" customHeight="true" outlineLevel="0" collapsed="false">
      <c r="A5" s="2" t="s">
        <v>119</v>
      </c>
      <c r="B5" s="23" t="s">
        <v>120</v>
      </c>
    </row>
    <row r="6" customFormat="false" ht="15" hidden="false" customHeight="true" outlineLevel="0" collapsed="false">
      <c r="A6" s="2" t="s">
        <v>121</v>
      </c>
      <c r="B6" s="23" t="s">
        <v>122</v>
      </c>
    </row>
    <row r="7" customFormat="false" ht="15" hidden="false" customHeight="true" outlineLevel="0" collapsed="false">
      <c r="A7" s="2" t="s">
        <v>123</v>
      </c>
      <c r="B7" s="23" t="s">
        <v>124</v>
      </c>
    </row>
    <row r="8" customFormat="false" ht="15" hidden="false" customHeight="true" outlineLevel="0" collapsed="false">
      <c r="A8" s="2" t="s">
        <v>125</v>
      </c>
      <c r="B8" s="23" t="s">
        <v>126</v>
      </c>
    </row>
    <row r="9" customFormat="false" ht="15" hidden="false" customHeight="true" outlineLevel="0" collapsed="false">
      <c r="A9" s="2" t="s">
        <v>127</v>
      </c>
      <c r="B9" s="2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2026-08-15T05:22:30Z</dcterms:created>
  <dc:creator>Abia Khan</dc:creator>
  <dc:description/>
  <dc:language>en-US</dc:language>
  <cp:lastModifiedBy>Abia Khan</cp:lastModifiedBy>
  <dcterms:modified xsi:type="dcterms:W3CDTF">2026-08-15T05:22:30Z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