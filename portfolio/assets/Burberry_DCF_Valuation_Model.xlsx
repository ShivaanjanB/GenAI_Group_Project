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istoricals" sheetId="2" state="visible" r:id="rId4"/>
    <sheet name="Assumptions" sheetId="3" state="visible" r:id="rId5"/>
    <sheet name="Forecast IS &amp; FCF" sheetId="4" state="visible" r:id="rId6"/>
    <sheet name="WACC" sheetId="5" state="visible" r:id="rId7"/>
    <sheet name="DCF Output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<sst xmlns="http://schemas.openxmlformats.org/spreadsheetml/2006/main" count="172" uniqueCount="157">
  <si>
    <t xml:space="preserve">Burberry Group plc (LON:BRBY) — 5-Year DCF Valuation Model</t>
  </si>
  <si>
    <t xml:space="preserve">Prepared by: Abia Khan | khan.abia1013@gmail.com</t>
  </si>
  <si>
    <t xml:space="preserve">DATA AS OF: 15 August 2026. Historical financials sourced from stockanalysis.com (Fiscal.ai data), cross-checked</t>
  </si>
  <si>
    <t xml:space="preserve">against Burberry Group plc Annual Report FY2025/26 (burberryplc.com/investors). Full URLs on the Sources tab.</t>
  </si>
  <si>
    <t xml:space="preserve">KEY JUDGEMENT CALLS:</t>
  </si>
  <si>
    <t xml:space="preserve">1. Revenue growth (FY2027-31): Burberry is mid-turnaround — FY2026 revenue was still down YoY, but Q1 FY2027</t>
  </si>
  <si>
    <t xml:space="preserve">    (to 27 Jun 2026) showed +5% comparable retail sales and a return to growth in every division. The forecast</t>
  </si>
  <si>
    <t xml:space="preserve">    assumes a moderate recovery (3.0% -&gt; 4.0% -&gt; 4.0% -&gt; 3.5% -&gt; 3.0%), NOT a straight-line extrapolation of any</t>
  </si>
  <si>
    <t xml:space="preserve">    single quarter.</t>
  </si>
  <si>
    <t xml:space="preserve">2. EBITDA margin: FY2025 margin (16.7%) was depressed by turnaround/impairment charges; FY2022-23 pre-turnaround</t>
  </si>
  <si>
    <t xml:space="preserve">    margins were 30%+. The forecast assumes gradual recovery to 25.5% by Year 5 — below the pre-2024 peak, on the</t>
  </si>
  <si>
    <t xml:space="preserve">    basis that full margin restoration is not yet demonstrated in reported results.</t>
  </si>
  <si>
    <t xml:space="preserve">3. EBITDA base figure: this DCF uses stockanalysis.com's STANDARDISED EBITDA (Operating Income + D&amp;A per the cash</t>
  </si>
  <si>
    <t xml:space="preserve">    flow statement, £490m for FY2026, which includes IFRS16 lease depreciation add-back). The trading comps</t>
  </si>
  <si>
    <t xml:space="preserve">    build uses a £272m EBITDA LTM figure sourced at an earlier date (5 Aug 2026) — the two are NOT the same</t>
  </si>
  <si>
    <t xml:space="preserve">    number and should not be cross-referenced without noting this. See the Sources tab for detail.</t>
  </si>
  <si>
    <t xml:space="preserve">4. Net debt for the equity bridge uses BALANCE SHEET net debt at FY2026 year-end (£852m: total debt £1,523m</t>
  </si>
  <si>
    <t xml:space="preserve">    less cash £671m), not the comps workbook's EV-implied net debt (£860m) — the two are close but not identical</t>
  </si>
  <si>
    <t xml:space="preserve">    because EV also reflects pension and minority-interest adjustments not on the face of the balance sheet.</t>
  </si>
  <si>
    <t xml:space="preserve">5. Tax rate: FY2026's reported effective tax rate (59.2%) is distorted by near-zero pre-tax income. This model</t>
  </si>
  <si>
    <t xml:space="preserve">    uses the UK statutory corporate tax rate of 25% for all forecast years, per standard DCF practice.</t>
  </si>
  <si>
    <t xml:space="preserve">Burberry Group — Historical Financials (£m)</t>
  </si>
  <si>
    <t xml:space="preserve">Fiscal year April-March. Blue = hardcoded input. Source: stockanalysis.com (Fiscal.ai), cross-checked vs Annual Report FY2025/26.</t>
  </si>
  <si>
    <t xml:space="preserve">£m — FY ending March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</si>
  <si>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</si>
  <si>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</si>
  <si>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</si>
  <si>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</si>
  <si>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</si>
  <si>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Revenue</t>
  </si>
  <si>
    <t xml:space="preserve">Revenue growth %</t>
  </si>
  <si>
    <t xml:space="preserve">EBITDA</t>
  </si>
  <si>
    <t xml:space="preserve">EBITDA margin %</t>
  </si>
  <si>
    <t xml:space="preserve">EBIT (Operating Income)</t>
  </si>
  <si>
    <t xml:space="preserve">D&amp;A (EBITDA - EBIT)</t>
  </si>
  <si>
    <t xml:space="preserve">Net Income</t>
  </si>
  <si>
    <t xml:space="preserve">Capex (incl. intangibles)</t>
  </si>
  <si>
    <t xml:space="preserve">Diluted shares (m)</t>
  </si>
  <si>
    <t xml:space="preserve">Total Debt</t>
  </si>
  <si>
    <t xml:space="preserve">Cash &amp; equivalents</t>
  </si>
  <si>
    <t xml:space="preserve">Net Debt</t>
  </si>
  <si>
    <t xml:space="preserve">Net Working Capital (FY2026 base, ~11.5% of revenue — see Assumptions methodology)</t>
  </si>
  <si>
    <t xml:space="preserve">Base-year NWC estimated at 11.5% of FY2026 revenue (see Assumptions tab methodology), used only as the FY2027 opening balance for the change-in-NWC calc.</t>
  </si>
  <si>
    <t xml:space="preserve">Net Income FY2025 and EBIT FY2025 were negative — reflects turnaround/impairment charges disclosed in the FY2024/25 Annual Report.</t>
  </si>
  <si>
    <t xml:space="preserve">Forecast Assumptions — FY2027-FY2031</t>
  </si>
  <si>
    <t xml:space="preserve">All blue cells are the only inputs that drive the forecast. Edit here, not inside formulas elsewhere.</t>
  </si>
  <si>
    <t xml:space="preserve">Driver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</si>
  <si>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</si>
  <si>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</si>
  <si>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</si>
  <si>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</si>
  <si>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</si>
  <si>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D&amp;A (% of revenue)</t>
  </si>
  <si>
    <t xml:space="preserve">CapEx (% of revenue)</t>
  </si>
  <si>
    <t xml:space="preserve">Net Working Capital (% of revenue)</t>
  </si>
  <si>
    <t xml:space="preserve">Tax rate %</t>
  </si>
  <si>
    <t xml:space="preserve">Terminal growth rate (g)</t>
  </si>
  <si>
    <t xml:space="preserve">WACC (linked from WACC tab)</t>
  </si>
  <si>
    <t xml:space="preserve">Revenue growth: moderate turnaround recovery (Q1 FY2027 comparable sales +5%, all divisions returned to growth per</t>
  </si>
  <si>
    <t xml:space="preserve">  17 Jul 2026 trading statement), tapering toward a ~3% long-run rate. This is a judgement call, not a consensus figure.</t>
  </si>
  <si>
    <t xml:space="preserve">EBITDA margin: gradual recovery from FY2026's 20.3% toward 25.5% by Year 5 — below the pre-turnaround 30%+ peak (FY2022-23),</t>
  </si>
  <si>
    <t xml:space="preserve">  reflecting that full margin restoration is not yet evidenced in reported results.</t>
  </si>
  <si>
    <t xml:space="preserve">D&amp;A % and CapEx %: held roughly at FY2026 actual levels (15.5% and 4.7% of revenue respectively), tapering slightly.</t>
  </si>
  <si>
    <t xml:space="preserve">NWC %: based on FY2025-26 average (Net Working Capital / Revenue = 14.1% and 11.5% respectively; see Historicals tab).</t>
  </si>
  <si>
    <t xml:space="preserve">Tax rate: UK statutory corporate tax rate (25%), per standard DCF practice, since FY2026's reported effective rate</t>
  </si>
  <si>
    <t xml:space="preserve">  (59.2%) is distorted by near-zero pre-tax income.</t>
  </si>
  <si>
    <t xml:space="preserve">Terminal growth: set below UK nominal GDP trend (~3.5-4%) and at the low end of typical luxury-sector long-run</t>
  </si>
  <si>
    <t xml:space="preserve">  assumptions (2-3%), consistent with Gordon Growth Model convention that g must stay below WACC.</t>
  </si>
  <si>
    <t xml:space="preserve">Forecast Income Statement &amp; Unlevered Free Cash Flow (£m)</t>
  </si>
  <si>
    <t xml:space="preserve">£m</t>
  </si>
  <si>
    <t xml:space="preserve">growth %</t>
  </si>
  <si>
    <t xml:space="preserve">margin %</t>
  </si>
  <si>
    <t xml:space="preserve">D&amp;A</t>
  </si>
  <si>
    <t xml:space="preserve">EBIT</t>
  </si>
  <si>
    <t xml:space="preserve">Tax on EBIT (unlevered)</t>
  </si>
  <si>
    <t xml:space="preserve">NOPAT (EBIT x (1-tax))</t>
  </si>
  <si>
    <t xml:space="preserve">Add back: D&amp;A</t>
  </si>
  <si>
    <t xml:space="preserve">Less: CapEx</t>
  </si>
  <si>
    <t xml:space="preserve">Net Working Capital</t>
  </si>
  <si>
    <t xml:space="preserve">Increase / (decrease) in NWC</t>
  </si>
  <si>
    <t xml:space="preserve">Unlevered Free Cash Flow</t>
  </si>
  <si>
    <t xml:space="preserve">NOPAT = EBIT x (1 - tax rate). Using NOPAT (not net income) for unlevered FCF is standard DCF practice — it excludes financing effects (interest) so the</t>
  </si>
  <si>
    <t xml:space="preserve">resulting Enterprise Value is capital-structure-neutral, matching the discount rate (WACC) used.</t>
  </si>
  <si>
    <t xml:space="preserve">Weighted Average Cost of Capital (WACC)</t>
  </si>
  <si>
    <t xml:space="preserve">Input</t>
  </si>
  <si>
    <t xml:space="preserve">Value</t>
  </si>
  <si>
    <t xml:space="preserve">Risk-free rate (UK 10yr Gilt yield)</t>
  </si>
  <si>
    <t xml:space="preserve">Source: TradingEconomics, UK 10Y Government Bond Yield, 13 Aug 2026</t>
  </si>
  <si>
    <t xml:space="preserve">Beta (5yr, vs FTSE All-Share)</t>
  </si>
  <si>
    <t xml:space="preserve">Source: stockanalysis.com/quote/lon/BRBY/statistics/, 15 Aug 2026</t>
  </si>
  <si>
    <t xml:space="preserve">Equity Risk Premium (assumed)</t>
  </si>
  <si>
    <t xml:space="preserve">Source: Standard UK ERP assumption (5%)</t>
  </si>
  <si>
    <t xml:space="preserve">Cost of Equity (CAPM) = Rf + Beta x ERP</t>
  </si>
  <si>
    <t xml:space="preserve">Interest expense FY2026 (£m)</t>
  </si>
  <si>
    <t xml:space="preserve">Source: stockanalysis.com Income Statement, FY2026 (Interest Expense).</t>
  </si>
  <si>
    <t xml:space="preserve">Total debt FY2026 (£m)</t>
  </si>
  <si>
    <t xml:space="preserve">Pre-tax cost of debt = Interest / Total Debt</t>
  </si>
  <si>
    <t xml:space="preserve">Tax rate</t>
  </si>
  <si>
    <t xml:space="preserve">After-tax cost of debt</t>
  </si>
  <si>
    <t xml:space="preserve">Market value of equity (£m) — market cap</t>
  </si>
  <si>
    <t xml:space="preserve">Source: trading comps build, Data tab (Market Cap £m), 5 Aug 2026.</t>
  </si>
  <si>
    <t xml:space="preserve">Market value of debt (£m) — total debt (proxy)</t>
  </si>
  <si>
    <t xml:space="preserve">Weight of equity / Weight of debt</t>
  </si>
  <si>
    <t xml:space="preserve">WACC = We x Ke + Wd x Kd(after-tax)</t>
  </si>
  <si>
    <t xml:space="preserve">Book value of debt is used as a proxy for market value of debt, standard practice absent quoted bond prices for Burberry's private debt facilities.</t>
  </si>
  <si>
    <t xml:space="preserve">DCF Output — Enterprise Value to Implied Share Price</t>
  </si>
  <si>
    <t xml:space="preserve">Unlevered FCF</t>
  </si>
  <si>
    <t xml:space="preserve">Discount period (t)</t>
  </si>
  <si>
    <t xml:space="preserve">Discount factor = 1/(1+WACC)^t</t>
  </si>
  <si>
    <t xml:space="preserve">PV of FCF</t>
  </si>
  <si>
    <t xml:space="preserve">Sum of PV of FCF (Years 1-5)</t>
  </si>
  <si>
    <t xml:space="preserve">Terminal Value (Gordon Growth Method)</t>
  </si>
  <si>
    <t xml:space="preserve">  Year 5 Unlevered FCF</t>
  </si>
  <si>
    <t xml:space="preserve">  Terminal growth rate (g)</t>
  </si>
  <si>
    <t xml:space="preserve">  Terminal Value = FCF5 x (1+g) / (WACC - g)</t>
  </si>
  <si>
    <t xml:space="preserve">  PV of Terminal Value</t>
  </si>
  <si>
    <t xml:space="preserve">Enterprise Value = Sum PV(FCF) + PV(TV)</t>
  </si>
  <si>
    <t xml:space="preserve">TV as % of Enterprise Value</t>
  </si>
  <si>
    <t xml:space="preserve">Less: Net Debt (FY2026 balance sheet)</t>
  </si>
  <si>
    <t xml:space="preserve">Equity Value</t>
  </si>
  <si>
    <t xml:space="preserve">Diluted shares outstanding (m)</t>
  </si>
  <si>
    <t xml:space="preserve">Implied share price (£)</t>
  </si>
  <si>
    <t xml:space="preserve">Current share price (£)</t>
  </si>
  <si>
    <t xml:space="preserve">Source: trading comps build, Data tab (Current Share Price, native GBP), 5 Aug 2026 — used here rather than a separately-fetched live quote so both</t>
  </si>
  <si>
    <t xml:space="preserve">models anchor to the exact same current price and upside/downside % is directly comparable across methodologies.</t>
  </si>
  <si>
    <t xml:space="preserve">Implied upside / (downside)</t>
  </si>
  <si>
    <t xml:space="preserve">Note: FCF is discounted using a mid-year-convention-free (end-of-year) DCF for simplicity.</t>
  </si>
  <si>
    <t xml:space="preserve">TV as % of EV is typically 60-80% in a 5-year DCF; check this figure as a sanity test whenever assumptions change materially.</t>
  </si>
  <si>
    <t xml:space="preserve">Sensitivity — Implied Share Price (£) vs WACC and Terminal Growth</t>
  </si>
  <si>
    <t xml:space="preserve">Manually computed 2-variable grid (values are formula-driven — no volatile Data Table needed).</t>
  </si>
  <si>
    <t xml:space="preserve">WACC \ Terminal g</t>
  </si>
  <si>
    <t xml:space="preserve">Row = WACC scenario (base WACC +/- 1.0%). Column = Terminal growth scenario (base g +/- 1.0%).</t>
  </si>
  <si>
    <t xml:space="preserve">Formula recomputes EV, subtracts net debt, and divides by diluted shares for each WACC/g pair — mechanically equivalent to Excel's Data Table but avoids the</t>
  </si>
  <si>
    <t xml:space="preserve">circular-reference / iterative-calc issues that Data Tables can cause when reopened outside Excel.</t>
  </si>
  <si>
    <t xml:space="preserve">Data Sources</t>
  </si>
  <si>
    <t xml:space="preserve">Item</t>
  </si>
  <si>
    <t xml:space="preserve">Source / URL</t>
  </si>
  <si>
    <t xml:space="preserve">Income Statement (FY2022-26)</t>
  </si>
  <si>
    <t xml:space="preserve">https://stockanalysis.com/quote/lon/BRBY/financials/ — pulled 15 Aug 2026</t>
  </si>
  <si>
    <t xml:space="preserve">Balance Sheet (FY2022-26)</t>
  </si>
  <si>
    <t xml:space="preserve">https://stockanalysis.com/quote/lon/BRBY/financials/balance-sheet/ — pulled 15 Aug 2026</t>
  </si>
  <si>
    <t xml:space="preserve">Cash Flow Statement (FY2022-26)</t>
  </si>
  <si>
    <t xml:space="preserve">https://stockanalysis.com/quote/lon/BRBY/financials/cash-flow-statement/ — pulled 15 Aug 2026</t>
  </si>
  <si>
    <t xml:space="preserve">Beta (5yr)</t>
  </si>
  <si>
    <t xml:space="preserve">https://stockanalysis.com/quote/lon/BRBY/statistics/ — pulled 15 Aug 2026 (Beta = 0.75)</t>
  </si>
  <si>
    <t xml:space="preserve">Risk-free rate (UK 10yr Gilt)</t>
  </si>
  <si>
    <t xml:space="preserve">https://tradingeconomics.com/united-kingdom/government-bond-yield — 13 Aug 2026 close, ~4.97%</t>
  </si>
  <si>
    <t xml:space="preserve">Current share price (31 Jul 2026)</t>
  </si>
  <si>
    <t xml:space="preserve">https://stockanalysis.com/quote/lon/BRBY/financials/balance-sheet/ (page header quote) — 1,211.00 GBX</t>
  </si>
  <si>
    <t xml:space="preserve">Market cap (5 Aug 2026)</t>
  </si>
  <si>
    <t xml:space="preserve">Companion workbook: Burberry_Luxury_Comps_Model_CV.xlsx, Data tab, sourced stockanalysis.com/quote/lon/BRBY/statistics/</t>
  </si>
  <si>
    <t xml:space="preserve">Q1 FY2027 trading statement</t>
  </si>
  <si>
    <t xml:space="preserve">Burberry Group plc Q1 2027 Trading Statement, 17 Jul 2026, burberryplc.com/investors — comparable retail sales +5%</t>
  </si>
  <si>
    <t xml:space="preserve">FY2025/26 KPIs (Adjusted operating profit)</t>
  </si>
  <si>
    <t xml:space="preserve">https://www.burberryplc.com/investors/financial-performance-kpis</t>
  </si>
  <si>
    <t xml:space="preserve">Equity Risk Premium</t>
  </si>
  <si>
    <t xml:space="preserve">Standard UK/developed-market ERP assumption — not a single-source published figure.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</si>
</sst>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"/>
    <numFmt numFmtId="167" formatCode="#,##0.00;\(#,##0.00\);\-"/>
    <numFmt numFmtId="168" formatCode="0.00%"/>
    <numFmt numFmtId="169" formatCode="0.00"/>
    <numFmt numFmtId="170" formatCode="0"/>
    <numFmt numFmtId="171" formatCode="0.000"/>
    <numFmt numFmtId="172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</row>
    <row r="5" customFormat="false" ht="15" hidden="false" customHeight="true" outlineLevel="0" collapsed="false">
      <c r="A5" s="3" t="s">
        <v>2</v>
      </c>
    </row>
    <row r="6" customFormat="false" ht="15" hidden="false" customHeight="true" outlineLevel="0" collapsed="false">
      <c r="A6" s="2" t="s">
        <v>3</v>
      </c>
    </row>
    <row r="8" customFormat="false" ht="15" hidden="false" customHeight="true" outlineLevel="0" collapsed="false">
      <c r="A8" s="3" t="s">
        <v>4</v>
      </c>
    </row>
    <row r="9" customFormat="false" ht="15" hidden="false" customHeight="true" outlineLevel="0" collapsed="false">
      <c r="A9" s="2" t="s">
        <v>5</v>
      </c>
    </row>
    <row r="10" customFormat="false" ht="15" hidden="false" customHeight="true" outlineLevel="0" collapsed="false">
      <c r="A10" s="2" t="s">
        <v>6</v>
      </c>
    </row>
    <row r="11" customFormat="false" ht="15" hidden="false" customHeight="true" outlineLevel="0" collapsed="false">
      <c r="A11" s="2" t="s">
        <v>7</v>
      </c>
    </row>
    <row r="12" customFormat="false" ht="15" hidden="false" customHeight="true" outlineLevel="0" collapsed="false">
      <c r="A12" s="2" t="s">
        <v>8</v>
      </c>
    </row>
    <row r="13" customFormat="false" ht="15" hidden="false" customHeight="true" outlineLevel="0" collapsed="false">
      <c r="A13" s="2" t="s">
        <v>9</v>
      </c>
    </row>
    <row r="14" customFormat="false" ht="15" hidden="false" customHeight="true" outlineLevel="0" collapsed="false">
      <c r="A14" s="2" t="s">
        <v>10</v>
      </c>
    </row>
    <row r="15" customFormat="false" ht="15" hidden="false" customHeight="true" outlineLevel="0" collapsed="false">
      <c r="A15" s="2" t="s">
        <v>11</v>
      </c>
    </row>
    <row r="16" customFormat="false" ht="15" hidden="false" customHeight="true" outlineLevel="0" collapsed="false">
      <c r="A16" s="2" t="s">
        <v>12</v>
      </c>
    </row>
    <row r="17" customFormat="false" ht="15" hidden="false" customHeight="true" outlineLevel="0" collapsed="false">
      <c r="A17" s="2" t="s">
        <v>13</v>
      </c>
    </row>
    <row r="18" customFormat="false" ht="15" hidden="false" customHeight="true" outlineLevel="0" collapsed="false">
      <c r="A18" s="2" t="s">
        <v>14</v>
      </c>
    </row>
    <row r="19" customFormat="false" ht="15" hidden="false" customHeight="true" outlineLevel="0" collapsed="false">
      <c r="A19" s="2" t="s">
        <v>15</v>
      </c>
    </row>
    <row r="20" customFormat="false" ht="15" hidden="false" customHeight="true" outlineLevel="0" collapsed="false">
      <c r="A20" s="2" t="s">
        <v>16</v>
      </c>
    </row>
    <row r="21" customFormat="false" ht="15" hidden="false" customHeight="true" outlineLevel="0" collapsed="false">
      <c r="A21" s="2" t="s">
        <v>17</v>
      </c>
    </row>
    <row r="22" customFormat="false" ht="15" hidden="false" customHeight="true" outlineLevel="0" collapsed="false">
      <c r="A22" s="2" t="s">
        <v>18</v>
      </c>
    </row>
    <row r="23" customFormat="false" ht="15" hidden="false" customHeight="true" outlineLevel="0" collapsed="false">
      <c r="A23" s="2" t="s">
        <v>19</v>
      </c>
    </row>
    <row r="24" customFormat="false" ht="15" hidden="false" customHeight="tru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</row>
    <row r="5" customFormat="false" ht="15" hidden="false" customHeight="false" outlineLevel="0" collapsed="false">
      <c r="A5" s="2" t="s">
        <v>29</v>
      </c>
      <c r="B5" s="6" t="n">
        <v>2826</v>
      </c>
      <c r="C5" s="6" t="n">
        <v>3094</v>
      </c>
      <c r="D5" s="6" t="n">
        <v>2968</v>
      </c>
      <c r="E5" s="6" t="n">
        <v>2461</v>
      </c>
      <c r="F5" s="6" t="n">
        <v>2420</v>
      </c>
    </row>
    <row r="6" customFormat="false" ht="15" hidden="false" customHeight="false" outlineLevel="0" collapsed="false">
      <c r="A6" s="2" t="s">
        <v>30</v>
      </c>
      <c r="C6" s="7" t="n">
        <f aca="false">C5/B5-1</f>
        <v>0.094833687190375</v>
      </c>
      <c r="D6" s="7" t="n">
        <f aca="false">D5/C5-1</f>
        <v>-0.0407239819004525</v>
      </c>
      <c r="E6" s="7" t="n">
        <f aca="false">E5/D5-1</f>
        <v>-0.170822102425876</v>
      </c>
      <c r="F6" s="7" t="n">
        <f aca="false">F5/E5-1</f>
        <v>-0.0166598943518895</v>
      </c>
    </row>
    <row r="7" customFormat="false" ht="15" hidden="false" customHeight="false" outlineLevel="0" collapsed="false">
      <c r="A7" s="2" t="s">
        <v>31</v>
      </c>
      <c r="B7" s="6" t="n">
        <v>856</v>
      </c>
      <c r="C7" s="6" t="n">
        <v>1001</v>
      </c>
      <c r="D7" s="6" t="n">
        <v>797</v>
      </c>
      <c r="E7" s="6" t="n">
        <v>410</v>
      </c>
      <c r="F7" s="6" t="n">
        <v>490</v>
      </c>
    </row>
    <row r="8" customFormat="false" ht="15" hidden="false" customHeight="false" outlineLevel="0" collapsed="false">
      <c r="A8" s="2" t="s">
        <v>32</v>
      </c>
      <c r="B8" s="7" t="n">
        <f aca="false">B7/B5</f>
        <v>0.302901627742392</v>
      </c>
      <c r="C8" s="7" t="n">
        <f aca="false">C7/C5</f>
        <v>0.323529411764706</v>
      </c>
      <c r="D8" s="7" t="n">
        <f aca="false">D7/D5</f>
        <v>0.268530997304582</v>
      </c>
      <c r="E8" s="7" t="n">
        <f aca="false">E7/E5</f>
        <v>0.166598943518895</v>
      </c>
      <c r="F8" s="7" t="n">
        <f aca="false">F7/F5</f>
        <v>0.202479338842975</v>
      </c>
    </row>
    <row r="9" customFormat="false" ht="15" hidden="false" customHeight="false" outlineLevel="0" collapsed="false">
      <c r="A9" s="2" t="s">
        <v>33</v>
      </c>
      <c r="B9" s="6" t="n">
        <v>543</v>
      </c>
      <c r="C9" s="6" t="n">
        <v>657</v>
      </c>
      <c r="D9" s="6" t="n">
        <v>418</v>
      </c>
      <c r="E9" s="6" t="n">
        <v>-3</v>
      </c>
      <c r="F9" s="6" t="n">
        <v>115</v>
      </c>
    </row>
    <row r="10" customFormat="false" ht="15" hidden="false" customHeight="false" outlineLevel="0" collapsed="false">
      <c r="A10" s="2" t="s">
        <v>34</v>
      </c>
      <c r="B10" s="8" t="n">
        <f aca="false">B7-B9</f>
        <v>313</v>
      </c>
      <c r="C10" s="8" t="n">
        <f aca="false">C7-C9</f>
        <v>344</v>
      </c>
      <c r="D10" s="8" t="n">
        <f aca="false">D7-D9</f>
        <v>379</v>
      </c>
      <c r="E10" s="8" t="n">
        <f aca="false">E7-E9</f>
        <v>413</v>
      </c>
      <c r="F10" s="8" t="n">
        <f aca="false">F7-F9</f>
        <v>375</v>
      </c>
    </row>
    <row r="11" customFormat="false" ht="15" hidden="false" customHeight="false" outlineLevel="0" collapsed="false">
      <c r="A11" s="2" t="s">
        <v>35</v>
      </c>
      <c r="B11" s="6" t="n">
        <v>396</v>
      </c>
      <c r="C11" s="6" t="n">
        <v>490</v>
      </c>
      <c r="D11" s="6" t="n">
        <v>270</v>
      </c>
      <c r="E11" s="6" t="n">
        <v>-75</v>
      </c>
      <c r="F11" s="6" t="n">
        <v>21</v>
      </c>
    </row>
    <row r="12" customFormat="false" ht="15" hidden="false" customHeight="false" outlineLevel="0" collapsed="false">
      <c r="A12" s="2" t="s">
        <v>36</v>
      </c>
      <c r="B12" s="6" t="n">
        <v>161</v>
      </c>
      <c r="C12" s="6" t="n">
        <v>179</v>
      </c>
      <c r="D12" s="6" t="n">
        <v>208</v>
      </c>
      <c r="E12" s="6" t="n">
        <v>151</v>
      </c>
      <c r="F12" s="6" t="n">
        <v>113</v>
      </c>
    </row>
    <row r="13" customFormat="false" ht="15" hidden="false" customHeight="false" outlineLevel="0" collapsed="false">
      <c r="A13" s="2" t="s">
        <v>37</v>
      </c>
      <c r="B13" s="9" t="n">
        <v>405</v>
      </c>
      <c r="C13" s="9" t="n">
        <v>388</v>
      </c>
      <c r="D13" s="9" t="n">
        <v>366</v>
      </c>
      <c r="E13" s="9" t="n">
        <v>357</v>
      </c>
      <c r="F13" s="9" t="n">
        <v>358.21</v>
      </c>
    </row>
    <row r="14" customFormat="false" ht="15" hidden="false" customHeight="false" outlineLevel="0" collapsed="false">
      <c r="A14" s="2" t="s">
        <v>38</v>
      </c>
      <c r="B14" s="6" t="n">
        <v>1401</v>
      </c>
      <c r="C14" s="6" t="n">
        <v>1486</v>
      </c>
      <c r="D14" s="6" t="n">
        <v>1566</v>
      </c>
      <c r="E14" s="6" t="n">
        <v>1924</v>
      </c>
      <c r="F14" s="6" t="n">
        <v>1523</v>
      </c>
    </row>
    <row r="15" customFormat="false" ht="15" hidden="false" customHeight="false" outlineLevel="0" collapsed="false">
      <c r="A15" s="2" t="s">
        <v>39</v>
      </c>
      <c r="B15" s="6" t="n">
        <v>1222</v>
      </c>
      <c r="C15" s="6" t="n">
        <v>1026</v>
      </c>
      <c r="D15" s="6" t="n">
        <v>441</v>
      </c>
      <c r="E15" s="6" t="n">
        <v>813</v>
      </c>
      <c r="F15" s="6" t="n">
        <v>671</v>
      </c>
    </row>
    <row r="16" customFormat="false" ht="15" hidden="false" customHeight="false" outlineLevel="0" collapsed="false">
      <c r="A16" s="2" t="s">
        <v>40</v>
      </c>
      <c r="B16" s="8" t="n">
        <f aca="false">B14-B15</f>
        <v>179</v>
      </c>
      <c r="C16" s="8" t="n">
        <f aca="false">C14-C15</f>
        <v>460</v>
      </c>
      <c r="D16" s="8" t="n">
        <f aca="false">D14-D15</f>
        <v>1125</v>
      </c>
      <c r="E16" s="8" t="n">
        <f aca="false">E14-E15</f>
        <v>1111</v>
      </c>
      <c r="F16" s="8" t="n">
        <f aca="false">F14-F15</f>
        <v>852</v>
      </c>
    </row>
    <row r="18" customFormat="false" ht="15" hidden="false" customHeight="false" outlineLevel="0" collapsed="false">
      <c r="A18" s="2" t="s">
        <v>41</v>
      </c>
      <c r="F18" s="8" t="n">
        <f aca="false">F5*0.115</f>
        <v>278.3</v>
      </c>
    </row>
    <row r="19" customFormat="false" ht="15" hidden="false" customHeight="false" outlineLevel="0" collapsed="false">
      <c r="A19" s="10" t="s">
        <v>42</v>
      </c>
    </row>
    <row r="20" customFormat="false" ht="15" hidden="false" customHeight="false" outlineLevel="0" collapsed="false">
      <c r="A20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4" t="s">
        <v>45</v>
      </c>
    </row>
    <row r="4" customFormat="false" ht="15" hidden="false" customHeight="false" outlineLevel="0" collapsed="false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</row>
    <row r="5" customFormat="false" ht="15" hidden="false" customHeight="false" outlineLevel="0" collapsed="false">
      <c r="A5" s="2" t="s">
        <v>30</v>
      </c>
      <c r="B5" s="11" t="n">
        <v>0.03</v>
      </c>
      <c r="C5" s="11" t="n">
        <v>0.04</v>
      </c>
      <c r="D5" s="11" t="n">
        <v>0.04</v>
      </c>
      <c r="E5" s="11" t="n">
        <v>0.035</v>
      </c>
      <c r="F5" s="11" t="n">
        <v>0.03</v>
      </c>
    </row>
    <row r="6" customFormat="false" ht="15" hidden="false" customHeight="false" outlineLevel="0" collapsed="false">
      <c r="A6" s="2" t="s">
        <v>32</v>
      </c>
      <c r="B6" s="11" t="n">
        <v>0.21</v>
      </c>
      <c r="C6" s="11" t="n">
        <v>0.225</v>
      </c>
      <c r="D6" s="11" t="n">
        <v>0.24</v>
      </c>
      <c r="E6" s="11" t="n">
        <v>0.25</v>
      </c>
      <c r="F6" s="11" t="n">
        <v>0.255</v>
      </c>
    </row>
    <row r="7" customFormat="false" ht="15" hidden="false" customHeight="false" outlineLevel="0" collapsed="false">
      <c r="A7" s="2" t="s">
        <v>52</v>
      </c>
      <c r="B7" s="11" t="n">
        <v>0.15</v>
      </c>
      <c r="C7" s="11" t="n">
        <v>0.148</v>
      </c>
      <c r="D7" s="11" t="n">
        <v>0.145</v>
      </c>
      <c r="E7" s="11" t="n">
        <v>0.143</v>
      </c>
      <c r="F7" s="11" t="n">
        <v>0.14</v>
      </c>
    </row>
    <row r="8" customFormat="false" ht="15" hidden="false" customHeight="false" outlineLevel="0" collapsed="false">
      <c r="A8" s="2" t="s">
        <v>53</v>
      </c>
      <c r="B8" s="11" t="n">
        <v>0.047</v>
      </c>
      <c r="C8" s="11" t="n">
        <v>0.046</v>
      </c>
      <c r="D8" s="11" t="n">
        <v>0.045</v>
      </c>
      <c r="E8" s="11" t="n">
        <v>0.045</v>
      </c>
      <c r="F8" s="11" t="n">
        <v>0.045</v>
      </c>
    </row>
    <row r="9" customFormat="false" ht="15" hidden="false" customHeight="false" outlineLevel="0" collapsed="false">
      <c r="A9" s="2" t="s">
        <v>54</v>
      </c>
      <c r="B9" s="11" t="n">
        <v>0.128</v>
      </c>
      <c r="C9" s="11" t="n">
        <v>0.125</v>
      </c>
      <c r="D9" s="11" t="n">
        <v>0.122</v>
      </c>
      <c r="E9" s="11" t="n">
        <v>0.12</v>
      </c>
      <c r="F9" s="11" t="n">
        <v>0.12</v>
      </c>
    </row>
    <row r="10" customFormat="false" ht="15" hidden="false" customHeight="false" outlineLevel="0" collapsed="false">
      <c r="A10" s="2" t="s">
        <v>55</v>
      </c>
      <c r="B10" s="11" t="n">
        <v>0.25</v>
      </c>
      <c r="C10" s="11" t="n">
        <v>0.25</v>
      </c>
      <c r="D10" s="11" t="n">
        <v>0.25</v>
      </c>
      <c r="E10" s="11" t="n">
        <v>0.25</v>
      </c>
      <c r="F10" s="11" t="n">
        <v>0.25</v>
      </c>
    </row>
    <row r="12" customFormat="false" ht="15" hidden="false" customHeight="false" outlineLevel="0" collapsed="false">
      <c r="A12" s="3" t="s">
        <v>56</v>
      </c>
      <c r="B12" s="11" t="n">
        <v>0.025</v>
      </c>
    </row>
    <row r="13" customFormat="false" ht="15" hidden="false" customHeight="false" outlineLevel="0" collapsed="false">
      <c r="A13" s="3" t="s">
        <v>57</v>
      </c>
      <c r="B13" s="12" t="n">
        <f aca="false">WACC!B18</f>
        <v>0.0748600784606763</v>
      </c>
    </row>
    <row r="15" customFormat="false" ht="15" hidden="false" customHeight="false" outlineLevel="0" collapsed="false">
      <c r="A15" s="10" t="s">
        <v>58</v>
      </c>
    </row>
    <row r="16" customFormat="false" ht="15" hidden="false" customHeight="false" outlineLevel="0" collapsed="false">
      <c r="A16" s="10" t="s">
        <v>59</v>
      </c>
    </row>
    <row r="17" customFormat="false" ht="15" hidden="false" customHeight="false" outlineLevel="0" collapsed="false">
      <c r="A17" s="10" t="s">
        <v>60</v>
      </c>
    </row>
    <row r="18" customFormat="false" ht="15" hidden="false" customHeight="false" outlineLevel="0" collapsed="false">
      <c r="A18" s="10" t="s">
        <v>61</v>
      </c>
    </row>
    <row r="19" customFormat="false" ht="15" hidden="false" customHeight="false" outlineLevel="0" collapsed="false">
      <c r="A19" s="10" t="s">
        <v>62</v>
      </c>
    </row>
    <row r="20" customFormat="false" ht="15" hidden="false" customHeight="false" outlineLevel="0" collapsed="false">
      <c r="A20" s="10" t="s">
        <v>63</v>
      </c>
    </row>
    <row r="21" customFormat="false" ht="15" hidden="false" customHeight="false" outlineLevel="0" collapsed="false">
      <c r="A21" s="10" t="s">
        <v>64</v>
      </c>
    </row>
    <row r="22" customFormat="false" ht="15" hidden="false" customHeight="false" outlineLevel="0" collapsed="false">
      <c r="A22" s="10" t="s">
        <v>65</v>
      </c>
    </row>
    <row r="23" customFormat="false" ht="15" hidden="false" customHeight="false" outlineLevel="0" collapsed="false">
      <c r="A23" s="10" t="s">
        <v>66</v>
      </c>
    </row>
    <row r="24" customFormat="false" ht="15" hidden="false" customHeight="false" outlineLevel="0" collapsed="false">
      <c r="A24" s="1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68</v>
      </c>
    </row>
    <row r="3" customFormat="false" ht="15" hidden="false" customHeight="false" outlineLevel="0" collapsed="false">
      <c r="A3" s="5" t="s">
        <v>69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</row>
    <row r="4" customFormat="false" ht="15" hidden="false" customHeight="false" outlineLevel="0" collapsed="false">
      <c r="A4" s="3" t="s">
        <v>29</v>
      </c>
      <c r="B4" s="8" t="n">
        <f aca="false">Historicals!F5*(1+Assumptions!B5)</f>
        <v>2492.6</v>
      </c>
      <c r="C4" s="8" t="n">
        <f aca="false">B4*(1+Assumptions!C5)</f>
        <v>2592.304</v>
      </c>
      <c r="D4" s="8" t="n">
        <f aca="false">C4*(1+Assumptions!D5)</f>
        <v>2695.99616</v>
      </c>
      <c r="E4" s="8" t="n">
        <f aca="false">D4*(1+Assumptions!E5)</f>
        <v>2790.3560256</v>
      </c>
      <c r="F4" s="8" t="n">
        <f aca="false">E4*(1+Assumptions!F5)</f>
        <v>2874.066706368</v>
      </c>
    </row>
    <row r="5" customFormat="false" ht="15" hidden="false" customHeight="false" outlineLevel="0" collapsed="false">
      <c r="A5" s="2" t="s">
        <v>70</v>
      </c>
      <c r="B5" s="7" t="n">
        <f aca="false">Assumptions!B5</f>
        <v>0.03</v>
      </c>
      <c r="C5" s="7" t="n">
        <f aca="false">Assumptions!C5</f>
        <v>0.04</v>
      </c>
      <c r="D5" s="7" t="n">
        <f aca="false">Assumptions!D5</f>
        <v>0.04</v>
      </c>
      <c r="E5" s="7" t="n">
        <f aca="false">Assumptions!E5</f>
        <v>0.035</v>
      </c>
      <c r="F5" s="7" t="n">
        <f aca="false">Assumptions!F5</f>
        <v>0.03</v>
      </c>
    </row>
    <row r="6" customFormat="false" ht="15" hidden="false" customHeight="false" outlineLevel="0" collapsed="false">
      <c r="A6" s="3" t="s">
        <v>31</v>
      </c>
      <c r="B6" s="8" t="n">
        <f aca="false">B4*Assumptions!B6</f>
        <v>523.446</v>
      </c>
      <c r="C6" s="8" t="n">
        <f aca="false">C4*Assumptions!C6</f>
        <v>583.2684</v>
      </c>
      <c r="D6" s="8" t="n">
        <f aca="false">D4*Assumptions!D6</f>
        <v>647.0390784</v>
      </c>
      <c r="E6" s="8" t="n">
        <f aca="false">E4*Assumptions!E6</f>
        <v>697.5890064</v>
      </c>
      <c r="F6" s="8" t="n">
        <f aca="false">F4*Assumptions!F6</f>
        <v>732.88701012384</v>
      </c>
    </row>
    <row r="7" customFormat="false" ht="15" hidden="false" customHeight="false" outlineLevel="0" collapsed="false">
      <c r="A7" s="2" t="s">
        <v>71</v>
      </c>
      <c r="B7" s="7" t="n">
        <f aca="false">Assumptions!B6</f>
        <v>0.21</v>
      </c>
      <c r="C7" s="7" t="n">
        <f aca="false">Assumptions!C6</f>
        <v>0.225</v>
      </c>
      <c r="D7" s="7" t="n">
        <f aca="false">Assumptions!D6</f>
        <v>0.24</v>
      </c>
      <c r="E7" s="7" t="n">
        <f aca="false">Assumptions!E6</f>
        <v>0.25</v>
      </c>
      <c r="F7" s="7" t="n">
        <f aca="false">Assumptions!F6</f>
        <v>0.255</v>
      </c>
    </row>
    <row r="8" customFormat="false" ht="15" hidden="false" customHeight="false" outlineLevel="0" collapsed="false">
      <c r="A8" s="2" t="s">
        <v>72</v>
      </c>
      <c r="B8" s="8" t="n">
        <f aca="false">B4*Assumptions!B7</f>
        <v>373.89</v>
      </c>
      <c r="C8" s="8" t="n">
        <f aca="false">C4*Assumptions!C7</f>
        <v>383.660992</v>
      </c>
      <c r="D8" s="8" t="n">
        <f aca="false">D4*Assumptions!D7</f>
        <v>390.9194432</v>
      </c>
      <c r="E8" s="8" t="n">
        <f aca="false">E4*Assumptions!E7</f>
        <v>399.0209116608</v>
      </c>
      <c r="F8" s="8" t="n">
        <f aca="false">F4*Assumptions!F7</f>
        <v>402.36933889152</v>
      </c>
    </row>
    <row r="9" customFormat="false" ht="15" hidden="false" customHeight="false" outlineLevel="0" collapsed="false">
      <c r="A9" s="3" t="s">
        <v>73</v>
      </c>
      <c r="B9" s="13" t="n">
        <f aca="false">B6-B8</f>
        <v>149.556</v>
      </c>
      <c r="C9" s="13" t="n">
        <f aca="false">C6-C8</f>
        <v>199.607408</v>
      </c>
      <c r="D9" s="13" t="n">
        <f aca="false">D6-D8</f>
        <v>256.1196352</v>
      </c>
      <c r="E9" s="13" t="n">
        <f aca="false">E6-E8</f>
        <v>298.5680947392</v>
      </c>
      <c r="F9" s="13" t="n">
        <f aca="false">F6-F8</f>
        <v>330.51767123232</v>
      </c>
    </row>
    <row r="10" customFormat="false" ht="15" hidden="false" customHeight="false" outlineLevel="0" collapsed="false">
      <c r="A10" s="2" t="s">
        <v>74</v>
      </c>
      <c r="B10" s="8" t="n">
        <f aca="false">B9*Assumptions!B10</f>
        <v>37.389</v>
      </c>
      <c r="C10" s="8" t="n">
        <f aca="false">C9*Assumptions!C10</f>
        <v>49.901852</v>
      </c>
      <c r="D10" s="8" t="n">
        <f aca="false">D9*Assumptions!D10</f>
        <v>64.0299088</v>
      </c>
      <c r="E10" s="8" t="n">
        <f aca="false">E9*Assumptions!E10</f>
        <v>74.6420236848</v>
      </c>
      <c r="F10" s="8" t="n">
        <f aca="false">F9*Assumptions!F10</f>
        <v>82.62941780808</v>
      </c>
    </row>
    <row r="11" customFormat="false" ht="15" hidden="false" customHeight="false" outlineLevel="0" collapsed="false">
      <c r="A11" s="3" t="s">
        <v>75</v>
      </c>
      <c r="B11" s="13" t="n">
        <f aca="false">B9-B10</f>
        <v>112.167</v>
      </c>
      <c r="C11" s="13" t="n">
        <f aca="false">C9-C10</f>
        <v>149.705556</v>
      </c>
      <c r="D11" s="13" t="n">
        <f aca="false">D9-D10</f>
        <v>192.0897264</v>
      </c>
      <c r="E11" s="13" t="n">
        <f aca="false">E9-E10</f>
        <v>223.9260710544</v>
      </c>
      <c r="F11" s="13" t="n">
        <f aca="false">F9-F10</f>
        <v>247.88825342424</v>
      </c>
    </row>
    <row r="12" customFormat="false" ht="15" hidden="false" customHeight="false" outlineLevel="0" collapsed="false">
      <c r="A12" s="2" t="s">
        <v>76</v>
      </c>
      <c r="B12" s="8" t="n">
        <f aca="false">B8</f>
        <v>373.89</v>
      </c>
      <c r="C12" s="8" t="n">
        <f aca="false">C8</f>
        <v>383.660992</v>
      </c>
      <c r="D12" s="8" t="n">
        <f aca="false">D8</f>
        <v>390.9194432</v>
      </c>
      <c r="E12" s="8" t="n">
        <f aca="false">E8</f>
        <v>399.0209116608</v>
      </c>
      <c r="F12" s="8" t="n">
        <f aca="false">F8</f>
        <v>402.36933889152</v>
      </c>
    </row>
    <row r="13" customFormat="false" ht="15" hidden="false" customHeight="false" outlineLevel="0" collapsed="false">
      <c r="A13" s="2" t="s">
        <v>77</v>
      </c>
      <c r="B13" s="8" t="n">
        <f aca="false">-B4*Assumptions!B8</f>
        <v>-117.1522</v>
      </c>
      <c r="C13" s="8" t="n">
        <f aca="false">-C4*Assumptions!C8</f>
        <v>-119.245984</v>
      </c>
      <c r="D13" s="8" t="n">
        <f aca="false">-D4*Assumptions!D8</f>
        <v>-121.3198272</v>
      </c>
      <c r="E13" s="8" t="n">
        <f aca="false">-E4*Assumptions!E8</f>
        <v>-125.566021152</v>
      </c>
      <c r="F13" s="8" t="n">
        <f aca="false">-F4*Assumptions!F8</f>
        <v>-129.33300178656</v>
      </c>
    </row>
    <row r="14" customFormat="false" ht="15" hidden="false" customHeight="false" outlineLevel="0" collapsed="false">
      <c r="A14" s="2" t="s">
        <v>78</v>
      </c>
      <c r="B14" s="8" t="n">
        <f aca="false">B4*Assumptions!B9</f>
        <v>319.0528</v>
      </c>
      <c r="C14" s="8" t="n">
        <f aca="false">C4*Assumptions!C9</f>
        <v>324.038</v>
      </c>
      <c r="D14" s="8" t="n">
        <f aca="false">D4*Assumptions!D9</f>
        <v>328.91153152</v>
      </c>
      <c r="E14" s="8" t="n">
        <f aca="false">E4*Assumptions!E9</f>
        <v>334.842723072</v>
      </c>
      <c r="F14" s="8" t="n">
        <f aca="false">F4*Assumptions!F9</f>
        <v>344.88800476416</v>
      </c>
    </row>
    <row r="15" customFormat="false" ht="15" hidden="false" customHeight="false" outlineLevel="0" collapsed="false">
      <c r="A15" s="2" t="s">
        <v>79</v>
      </c>
      <c r="B15" s="8" t="n">
        <f aca="false">B14-Historicals!F18</f>
        <v>40.7528</v>
      </c>
      <c r="C15" s="8" t="n">
        <f aca="false">C14-B14</f>
        <v>4.98520000000002</v>
      </c>
      <c r="D15" s="8" t="n">
        <f aca="false">D14-C14</f>
        <v>4.87353151999997</v>
      </c>
      <c r="E15" s="8" t="n">
        <f aca="false">E14-D14</f>
        <v>5.93119155200003</v>
      </c>
      <c r="F15" s="8" t="n">
        <f aca="false">F14-E14</f>
        <v>10.04528169216</v>
      </c>
    </row>
    <row r="16" customFormat="false" ht="15" hidden="false" customHeight="false" outlineLevel="0" collapsed="false">
      <c r="A16" s="3" t="s">
        <v>80</v>
      </c>
      <c r="B16" s="13" t="n">
        <f aca="false">B11+B12+B13-B15</f>
        <v>328.152</v>
      </c>
      <c r="C16" s="13" t="n">
        <f aca="false">C11+C12+C13-C15</f>
        <v>409.135364</v>
      </c>
      <c r="D16" s="13" t="n">
        <f aca="false">D11+D12+D13-D15</f>
        <v>456.81581088</v>
      </c>
      <c r="E16" s="13" t="n">
        <f aca="false">E11+E12+E13-E15</f>
        <v>491.4497700112</v>
      </c>
      <c r="F16" s="13" t="n">
        <f aca="false">F11+F12+F13-F15</f>
        <v>510.87930883704</v>
      </c>
    </row>
    <row r="18" customFormat="false" ht="15" hidden="false" customHeight="false" outlineLevel="0" collapsed="false">
      <c r="A18" s="10" t="s">
        <v>81</v>
      </c>
    </row>
    <row r="19" customFormat="false" ht="15" hidden="false" customHeight="false" outlineLevel="0" collapsed="false">
      <c r="A19" s="1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5" t="s">
        <v>84</v>
      </c>
      <c r="B3" s="5" t="s">
        <v>85</v>
      </c>
    </row>
    <row r="4" customFormat="false" ht="15" hidden="false" customHeight="false" outlineLevel="0" collapsed="false">
      <c r="A4" s="2" t="s">
        <v>86</v>
      </c>
      <c r="B4" s="14" t="n">
        <v>0.0497</v>
      </c>
      <c r="C4" s="10" t="s">
        <v>87</v>
      </c>
    </row>
    <row r="5" customFormat="false" ht="15" hidden="false" customHeight="false" outlineLevel="0" collapsed="false">
      <c r="A5" s="2" t="s">
        <v>88</v>
      </c>
      <c r="B5" s="15" t="n">
        <v>0.75</v>
      </c>
      <c r="C5" s="10" t="s">
        <v>89</v>
      </c>
    </row>
    <row r="6" customFormat="false" ht="15" hidden="false" customHeight="false" outlineLevel="0" collapsed="false">
      <c r="A6" s="2" t="s">
        <v>90</v>
      </c>
      <c r="B6" s="14" t="n">
        <v>0.05</v>
      </c>
      <c r="C6" s="10" t="s">
        <v>91</v>
      </c>
    </row>
    <row r="7" customFormat="false" ht="15" hidden="false" customHeight="false" outlineLevel="0" collapsed="false">
      <c r="A7" s="3" t="s">
        <v>92</v>
      </c>
      <c r="B7" s="16" t="n">
        <f aca="false">B4+B5*B6</f>
        <v>0.0872</v>
      </c>
    </row>
    <row r="9" customFormat="false" ht="15" hidden="false" customHeight="false" outlineLevel="0" collapsed="false">
      <c r="A9" s="2" t="s">
        <v>93</v>
      </c>
      <c r="B9" s="6" t="n">
        <v>89</v>
      </c>
      <c r="C9" s="10" t="s">
        <v>94</v>
      </c>
    </row>
    <row r="10" customFormat="false" ht="15" hidden="false" customHeight="false" outlineLevel="0" collapsed="false">
      <c r="A10" s="2" t="s">
        <v>95</v>
      </c>
      <c r="B10" s="8" t="n">
        <f aca="false">Historicals!F14</f>
        <v>1523</v>
      </c>
    </row>
    <row r="11" customFormat="false" ht="15" hidden="false" customHeight="false" outlineLevel="0" collapsed="false">
      <c r="A11" s="3" t="s">
        <v>96</v>
      </c>
      <c r="B11" s="16" t="n">
        <f aca="false">B9/B10</f>
        <v>0.0584372948128693</v>
      </c>
    </row>
    <row r="12" customFormat="false" ht="15" hidden="false" customHeight="false" outlineLevel="0" collapsed="false">
      <c r="A12" s="2" t="s">
        <v>97</v>
      </c>
      <c r="B12" s="7" t="n">
        <f aca="false">Assumptions!B10</f>
        <v>0.25</v>
      </c>
    </row>
    <row r="13" customFormat="false" ht="15" hidden="false" customHeight="false" outlineLevel="0" collapsed="false">
      <c r="A13" s="3" t="s">
        <v>98</v>
      </c>
      <c r="B13" s="16" t="n">
        <f aca="false">B11*(1-B12)</f>
        <v>0.043827971109652</v>
      </c>
    </row>
    <row r="15" customFormat="false" ht="15" hidden="false" customHeight="false" outlineLevel="0" collapsed="false">
      <c r="A15" s="2" t="s">
        <v>99</v>
      </c>
      <c r="B15" s="6" t="n">
        <v>3830</v>
      </c>
      <c r="C15" s="10" t="s">
        <v>100</v>
      </c>
    </row>
    <row r="16" customFormat="false" ht="15" hidden="false" customHeight="false" outlineLevel="0" collapsed="false">
      <c r="A16" s="2" t="s">
        <v>101</v>
      </c>
      <c r="B16" s="8" t="n">
        <f aca="false">B10</f>
        <v>1523</v>
      </c>
    </row>
    <row r="17" customFormat="false" ht="15" hidden="false" customHeight="false" outlineLevel="0" collapsed="false">
      <c r="A17" s="2" t="s">
        <v>102</v>
      </c>
      <c r="B17" s="7" t="n">
        <f aca="false">B15/(B15+B16)</f>
        <v>0.715486643003923</v>
      </c>
      <c r="C17" s="2" t="str">
        <f aca="false">"Debt weight: "&amp;TEXT(B16/(B15+B16),"0.0%")</f>
        <v>Debt weight: 28.5%</v>
      </c>
    </row>
    <row r="18" customFormat="false" ht="15" hidden="false" customHeight="false" outlineLevel="0" collapsed="false">
      <c r="A18" s="3" t="s">
        <v>103</v>
      </c>
      <c r="B18" s="17" t="n">
        <f aca="false">B17*B7+(1-B17)*B13</f>
        <v>0.0748600784606763</v>
      </c>
    </row>
    <row r="20" customFormat="false" ht="15" hidden="false" customHeight="false" outlineLevel="0" collapsed="false">
      <c r="A20" s="1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105</v>
      </c>
    </row>
    <row r="3" customFormat="false" ht="15" hidden="false" customHeight="false" outlineLevel="0" collapsed="false">
      <c r="A3" s="5" t="s">
        <v>69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</row>
    <row r="4" customFormat="false" ht="15" hidden="false" customHeight="false" outlineLevel="0" collapsed="false">
      <c r="A4" s="2" t="s">
        <v>106</v>
      </c>
      <c r="B4" s="8" t="n">
        <f aca="false">'Forecast IS &amp; FCF'!B16</f>
        <v>328.152</v>
      </c>
      <c r="C4" s="8" t="n">
        <f aca="false">'Forecast IS &amp; FCF'!C16</f>
        <v>409.135364</v>
      </c>
      <c r="D4" s="8" t="n">
        <f aca="false">'Forecast IS &amp; FCF'!D16</f>
        <v>456.81581088</v>
      </c>
      <c r="E4" s="8" t="n">
        <f aca="false">'Forecast IS &amp; FCF'!E16</f>
        <v>491.4497700112</v>
      </c>
      <c r="F4" s="8" t="n">
        <f aca="false">'Forecast IS &amp; FCF'!F16</f>
        <v>510.87930883704</v>
      </c>
    </row>
    <row r="5" customFormat="false" ht="15" hidden="false" customHeight="false" outlineLevel="0" collapsed="false">
      <c r="A5" s="2" t="s">
        <v>107</v>
      </c>
      <c r="B5" s="18" t="n">
        <f aca="false">1</f>
        <v>1</v>
      </c>
      <c r="C5" s="18" t="n">
        <f aca="false">2</f>
        <v>2</v>
      </c>
      <c r="D5" s="18" t="n">
        <f aca="false">3</f>
        <v>3</v>
      </c>
      <c r="E5" s="18" t="n">
        <f aca="false">4</f>
        <v>4</v>
      </c>
      <c r="F5" s="18" t="n">
        <f aca="false">5</f>
        <v>5</v>
      </c>
    </row>
    <row r="6" customFormat="false" ht="15" hidden="false" customHeight="false" outlineLevel="0" collapsed="false">
      <c r="A6" s="2" t="s">
        <v>108</v>
      </c>
      <c r="B6" s="19" t="n">
        <f aca="false">1/(1+WACC!$B$18)^B5</f>
        <v>0.930353652572264</v>
      </c>
      <c r="C6" s="19" t="n">
        <f aca="false">1/(1+WACC!$B$18)^C5</f>
        <v>0.865557918854552</v>
      </c>
      <c r="D6" s="19" t="n">
        <f aca="false">1/(1+WACC!$B$18)^D5</f>
        <v>0.80527497131918</v>
      </c>
      <c r="E6" s="19" t="n">
        <f aca="false">1/(1+WACC!$B$18)^E5</f>
        <v>0.749190510891823</v>
      </c>
      <c r="F6" s="19" t="n">
        <f aca="false">1/(1+WACC!$B$18)^F5</f>
        <v>0.697012128280688</v>
      </c>
    </row>
    <row r="7" customFormat="false" ht="15" hidden="false" customHeight="false" outlineLevel="0" collapsed="false">
      <c r="A7" s="2" t="s">
        <v>109</v>
      </c>
      <c r="B7" s="8" t="n">
        <f aca="false">B4*B6</f>
        <v>305.297411798893</v>
      </c>
      <c r="C7" s="8" t="n">
        <f aca="false">C4*C6</f>
        <v>354.13035419364</v>
      </c>
      <c r="D7" s="8" t="n">
        <f aca="false">D4*D6</f>
        <v>367.86233900454</v>
      </c>
      <c r="E7" s="8" t="n">
        <f aca="false">E4*E6</f>
        <v>368.18950427236</v>
      </c>
      <c r="F7" s="8" t="n">
        <f aca="false">F4*F6</f>
        <v>356.089074347072</v>
      </c>
    </row>
    <row r="9" customFormat="false" ht="15" hidden="false" customHeight="false" outlineLevel="0" collapsed="false">
      <c r="A9" s="3" t="s">
        <v>110</v>
      </c>
      <c r="B9" s="13" t="n">
        <f aca="false">SUM(B7:F7)</f>
        <v>1751.5686836165</v>
      </c>
    </row>
    <row r="11" customFormat="false" ht="15" hidden="false" customHeight="false" outlineLevel="0" collapsed="false">
      <c r="A11" s="3" t="s">
        <v>111</v>
      </c>
    </row>
    <row r="12" customFormat="false" ht="15" hidden="false" customHeight="false" outlineLevel="0" collapsed="false">
      <c r="A12" s="2" t="s">
        <v>112</v>
      </c>
      <c r="B12" s="8" t="n">
        <f aca="false">F4</f>
        <v>510.87930883704</v>
      </c>
    </row>
    <row r="13" customFormat="false" ht="15" hidden="false" customHeight="false" outlineLevel="0" collapsed="false">
      <c r="A13" s="2" t="s">
        <v>113</v>
      </c>
      <c r="B13" s="7" t="n">
        <f aca="false">Assumptions!B12</f>
        <v>0.025</v>
      </c>
    </row>
    <row r="14" customFormat="false" ht="15" hidden="false" customHeight="false" outlineLevel="0" collapsed="false">
      <c r="A14" s="2" t="s">
        <v>114</v>
      </c>
      <c r="B14" s="13" t="n">
        <f aca="false">B12*(1+B13)/(WACC!$B$18-B13)</f>
        <v>10502.41611575</v>
      </c>
    </row>
    <row r="15" customFormat="false" ht="15" hidden="false" customHeight="false" outlineLevel="0" collapsed="false">
      <c r="A15" s="2" t="s">
        <v>115</v>
      </c>
      <c r="B15" s="13" t="n">
        <f aca="false">B14*F6</f>
        <v>7320.31140892831</v>
      </c>
    </row>
    <row r="17" customFormat="false" ht="15" hidden="false" customHeight="false" outlineLevel="0" collapsed="false">
      <c r="A17" s="3" t="s">
        <v>116</v>
      </c>
      <c r="B17" s="20" t="n">
        <f aca="false">B9+B15</f>
        <v>9071.88009254481</v>
      </c>
    </row>
    <row r="18" customFormat="false" ht="15" hidden="false" customHeight="false" outlineLevel="0" collapsed="false">
      <c r="A18" s="2" t="s">
        <v>117</v>
      </c>
      <c r="B18" s="7" t="n">
        <f aca="false">B15/B17</f>
        <v>0.806923298616356</v>
      </c>
    </row>
    <row r="20" customFormat="false" ht="15" hidden="false" customHeight="false" outlineLevel="0" collapsed="false">
      <c r="A20" s="2" t="s">
        <v>118</v>
      </c>
      <c r="B20" s="8" t="n">
        <f aca="false">-Historicals!F16</f>
        <v>-852</v>
      </c>
    </row>
    <row r="21" customFormat="false" ht="15" hidden="false" customHeight="false" outlineLevel="0" collapsed="false">
      <c r="A21" s="3" t="s">
        <v>119</v>
      </c>
      <c r="B21" s="20" t="n">
        <f aca="false">B17+B20</f>
        <v>8219.88009254481</v>
      </c>
    </row>
    <row r="22" customFormat="false" ht="15" hidden="false" customHeight="false" outlineLevel="0" collapsed="false">
      <c r="A22" s="2" t="s">
        <v>120</v>
      </c>
      <c r="B22" s="21" t="n">
        <f aca="false">Historicals!F13</f>
        <v>358.21</v>
      </c>
    </row>
    <row r="23" customFormat="false" ht="15" hidden="false" customHeight="false" outlineLevel="0" collapsed="false">
      <c r="A23" s="3" t="s">
        <v>121</v>
      </c>
      <c r="B23" s="22" t="n">
        <f aca="false">B21/B22</f>
        <v>22.9470983293175</v>
      </c>
    </row>
    <row r="25" customFormat="false" ht="15" hidden="false" customHeight="false" outlineLevel="0" collapsed="false">
      <c r="A25" s="2" t="s">
        <v>122</v>
      </c>
      <c r="B25" s="23" t="n">
        <v>10.715</v>
      </c>
      <c r="C25" s="10" t="s">
        <v>123</v>
      </c>
      <c r="D25" s="10" t="s">
        <v>124</v>
      </c>
    </row>
    <row r="26" customFormat="false" ht="15" hidden="false" customHeight="false" outlineLevel="0" collapsed="false">
      <c r="A26" s="3" t="s">
        <v>125</v>
      </c>
      <c r="B26" s="24" t="n">
        <f aca="false">B23/B25-1</f>
        <v>1.14158640497597</v>
      </c>
    </row>
    <row r="28" customFormat="false" ht="15" hidden="false" customHeight="false" outlineLevel="0" collapsed="false">
      <c r="A28" s="10" t="s">
        <v>126</v>
      </c>
    </row>
    <row r="29" customFormat="false" ht="15" hidden="false" customHeight="false" outlineLevel="0" collapsed="false">
      <c r="A29" s="1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4" t="s">
        <v>129</v>
      </c>
    </row>
    <row r="4" customFormat="false" ht="15" hidden="false" customHeight="false" outlineLevel="0" collapsed="false">
      <c r="A4" s="3" t="s">
        <v>130</v>
      </c>
      <c r="B4" s="24" t="n">
        <f aca="false">Assumptions!$B$12+(-0.01)</f>
        <v>0.015</v>
      </c>
      <c r="C4" s="24" t="n">
        <f aca="false">Assumptions!$B$12+(-0.005)</f>
        <v>0.02</v>
      </c>
      <c r="D4" s="24" t="n">
        <f aca="false">Assumptions!$B$12+(0)</f>
        <v>0.025</v>
      </c>
      <c r="E4" s="24" t="n">
        <f aca="false">Assumptions!$B$12+(0.005)</f>
        <v>0.03</v>
      </c>
      <c r="F4" s="24" t="n">
        <f aca="false">Assumptions!$B$12+(0.01)</f>
        <v>0.035</v>
      </c>
    </row>
    <row r="5" customFormat="false" ht="15" hidden="false" customHeight="false" outlineLevel="0" collapsed="false">
      <c r="A5" s="16" t="n">
        <f aca="false">WACC!$B$18+(-0.01)</f>
        <v>0.0648600784606763</v>
      </c>
      <c r="B5" s="25" t="n">
        <f aca="false">(('Forecast IS &amp; FCF'!$B$16/(1+$A5)^1+'Forecast IS &amp; FCF'!$C$16/(1+$A5)^2+'Forecast IS &amp; FCF'!$D$16/(1+$A5)^3+'Forecast IS &amp; FCF'!$E$16/(1+$A5)^4+'Forecast IS &amp; FCF'!$F$16/(1+$A5)^5)+('Forecast IS &amp; FCF'!$F$16*(1+B$4))/($A5-B$4)/(1+$A5)^5-Historicals!$F$16)/Historicals!$F$13</f>
        <v>23.8585136380219</v>
      </c>
      <c r="C5" s="25" t="n">
        <f aca="false">(('Forecast IS &amp; FCF'!$B$16/(1+$A5)^1+'Forecast IS &amp; FCF'!$C$16/(1+$A5)^2+'Forecast IS &amp; FCF'!$D$16/(1+$A5)^3+'Forecast IS &amp; FCF'!$E$16/(1+$A5)^4+'Forecast IS &amp; FCF'!$F$16/(1+$A5)^5)+('Forecast IS &amp; FCF'!$F$16*(1+C$4))/($A5-C$4)/(1+$A5)^5-Historicals!$F$16)/Historicals!$F$13</f>
        <v>26.3380326531766</v>
      </c>
      <c r="D5" s="25" t="n">
        <f aca="false">(('Forecast IS &amp; FCF'!$B$16/(1+$A5)^1+'Forecast IS &amp; FCF'!$C$16/(1+$A5)^2+'Forecast IS &amp; FCF'!$D$16/(1+$A5)^3+'Forecast IS &amp; FCF'!$E$16/(1+$A5)^4+'Forecast IS &amp; FCF'!$F$16/(1+$A5)^5)+('Forecast IS &amp; FCF'!$F$16*(1+D$4))/($A5-D$4)/(1+$A5)^5-Historicals!$F$16)/Historicals!$F$13</f>
        <v>29.4396073969975</v>
      </c>
      <c r="E5" s="25" t="n">
        <f aca="false">(('Forecast IS &amp; FCF'!$B$16/(1+$A5)^1+'Forecast IS &amp; FCF'!$C$16/(1+$A5)^2+'Forecast IS &amp; FCF'!$D$16/(1+$A5)^3+'Forecast IS &amp; FCF'!$E$16/(1+$A5)^4+'Forecast IS &amp; FCF'!$F$16/(1+$A5)^5)+('Forecast IS &amp; FCF'!$F$16*(1+E$4))/($A5-E$4)/(1+$A5)^5-Historicals!$F$16)/Historicals!$F$13</f>
        <v>33.4309032432306</v>
      </c>
      <c r="F5" s="25" t="n">
        <f aca="false">(('Forecast IS &amp; FCF'!$B$16/(1+$A5)^1+'Forecast IS &amp; FCF'!$C$16/(1+$A5)^2+'Forecast IS &amp; FCF'!$D$16/(1+$A5)^3+'Forecast IS &amp; FCF'!$E$16/(1+$A5)^4+'Forecast IS &amp; FCF'!$F$16/(1+$A5)^5)+('Forecast IS &amp; FCF'!$F$16*(1+F$4))/($A5-F$4)/(1+$A5)^5-Historicals!$F$16)/Historicals!$F$13</f>
        <v>38.7588653180837</v>
      </c>
    </row>
    <row r="6" customFormat="false" ht="15" hidden="false" customHeight="false" outlineLevel="0" collapsed="false">
      <c r="A6" s="16" t="n">
        <f aca="false">WACC!$B$18+(-0.005)</f>
        <v>0.0698600784606763</v>
      </c>
      <c r="B6" s="25" t="n">
        <f aca="false">(('Forecast IS &amp; FCF'!$B$16/(1+$A6)^1+'Forecast IS &amp; FCF'!$C$16/(1+$A6)^2+'Forecast IS &amp; FCF'!$D$16/(1+$A6)^3+'Forecast IS &amp; FCF'!$E$16/(1+$A6)^4+'Forecast IS &amp; FCF'!$F$16/(1+$A6)^5)+('Forecast IS &amp; FCF'!$F$16*(1+B$4))/($A6-B$4)/(1+$A6)^5-Historicals!$F$16)/Historicals!$F$13</f>
        <v>21.4076781449939</v>
      </c>
      <c r="C6" s="25" t="n">
        <f aca="false">(('Forecast IS &amp; FCF'!$B$16/(1+$A6)^1+'Forecast IS &amp; FCF'!$C$16/(1+$A6)^2+'Forecast IS &amp; FCF'!$D$16/(1+$A6)^3+'Forecast IS &amp; FCF'!$E$16/(1+$A6)^4+'Forecast IS &amp; FCF'!$F$16/(1+$A6)^5)+('Forecast IS &amp; FCF'!$F$16*(1+C$4))/($A6-C$4)/(1+$A6)^5-Historicals!$F$16)/Historicals!$F$13</f>
        <v>23.3975875348336</v>
      </c>
      <c r="D6" s="25" t="n">
        <f aca="false">(('Forecast IS &amp; FCF'!$B$16/(1+$A6)^1+'Forecast IS &amp; FCF'!$C$16/(1+$A6)^2+'Forecast IS &amp; FCF'!$D$16/(1+$A6)^3+'Forecast IS &amp; FCF'!$E$16/(1+$A6)^4+'Forecast IS &amp; FCF'!$F$16/(1+$A6)^5)+('Forecast IS &amp; FCF'!$F$16*(1+D$4))/($A6-D$4)/(1+$A6)^5-Historicals!$F$16)/Historicals!$F$13</f>
        <v>25.831078268737</v>
      </c>
      <c r="E6" s="25" t="n">
        <f aca="false">(('Forecast IS &amp; FCF'!$B$16/(1+$A6)^1+'Forecast IS &amp; FCF'!$C$16/(1+$A6)^2+'Forecast IS &amp; FCF'!$D$16/(1+$A6)^3+'Forecast IS &amp; FCF'!$E$16/(1+$A6)^4+'Forecast IS &amp; FCF'!$F$16/(1+$A6)^5)+('Forecast IS &amp; FCF'!$F$16*(1+E$4))/($A6-E$4)/(1+$A6)^5-Historicals!$F$16)/Historicals!$F$13</f>
        <v>28.8750772675211</v>
      </c>
      <c r="F6" s="25" t="n">
        <f aca="false">(('Forecast IS &amp; FCF'!$B$16/(1+$A6)^1+'Forecast IS &amp; FCF'!$C$16/(1+$A6)^2+'Forecast IS &amp; FCF'!$D$16/(1+$A6)^3+'Forecast IS &amp; FCF'!$E$16/(1+$A6)^4+'Forecast IS &amp; FCF'!$F$16/(1+$A6)^5)+('Forecast IS &amp; FCF'!$F$16*(1+F$4))/($A6-F$4)/(1+$A6)^5-Historicals!$F$16)/Historicals!$F$13</f>
        <v>32.7922811279116</v>
      </c>
    </row>
    <row r="7" customFormat="false" ht="15" hidden="false" customHeight="false" outlineLevel="0" collapsed="false">
      <c r="A7" s="16" t="n">
        <f aca="false">WACC!$B$18+(0)</f>
        <v>0.0748600784606763</v>
      </c>
      <c r="B7" s="25" t="n">
        <f aca="false">(('Forecast IS &amp; FCF'!$B$16/(1+$A7)^1+'Forecast IS &amp; FCF'!$C$16/(1+$A7)^2+'Forecast IS &amp; FCF'!$D$16/(1+$A7)^3+'Forecast IS &amp; FCF'!$E$16/(1+$A7)^4+'Forecast IS &amp; FCF'!$F$16/(1+$A7)^5)+('Forecast IS &amp; FCF'!$F$16*(1+B$4))/($A7-B$4)/(1+$A7)^5-Historicals!$F$16)/Historicals!$F$13</f>
        <v>19.3671015440845</v>
      </c>
      <c r="C7" s="25" t="n">
        <f aca="false">(('Forecast IS &amp; FCF'!$B$16/(1+$A7)^1+'Forecast IS &amp; FCF'!$C$16/(1+$A7)^2+'Forecast IS &amp; FCF'!$D$16/(1+$A7)^3+'Forecast IS &amp; FCF'!$E$16/(1+$A7)^4+'Forecast IS &amp; FCF'!$F$16/(1+$A7)^5)+('Forecast IS &amp; FCF'!$F$16*(1+C$4))/($A7-C$4)/(1+$A7)^5-Historicals!$F$16)/Historicals!$F$13</f>
        <v>20.9939577718662</v>
      </c>
      <c r="D7" s="25" t="n">
        <f aca="false">(('Forecast IS &amp; FCF'!$B$16/(1+$A7)^1+'Forecast IS &amp; FCF'!$C$16/(1+$A7)^2+'Forecast IS &amp; FCF'!$D$16/(1+$A7)^3+'Forecast IS &amp; FCF'!$E$16/(1+$A7)^4+'Forecast IS &amp; FCF'!$F$16/(1+$A7)^5)+('Forecast IS &amp; FCF'!$F$16*(1+D$4))/($A7-D$4)/(1+$A7)^5-Historicals!$F$16)/Historicals!$F$13</f>
        <v>22.9470983293175</v>
      </c>
      <c r="E7" s="25" t="n">
        <f aca="false">(('Forecast IS &amp; FCF'!$B$16/(1+$A7)^1+'Forecast IS &amp; FCF'!$C$16/(1+$A7)^2+'Forecast IS &amp; FCF'!$D$16/(1+$A7)^3+'Forecast IS &amp; FCF'!$E$16/(1+$A7)^4+'Forecast IS &amp; FCF'!$F$16/(1+$A7)^5)+('Forecast IS &amp; FCF'!$F$16*(1+E$4))/($A7-E$4)/(1+$A7)^5-Historicals!$F$16)/Historicals!$F$13</f>
        <v>25.3356238937663</v>
      </c>
      <c r="F7" s="25" t="n">
        <f aca="false">(('Forecast IS &amp; FCF'!$B$16/(1+$A7)^1+'Forecast IS &amp; FCF'!$C$16/(1+$A7)^2+'Forecast IS &amp; FCF'!$D$16/(1+$A7)^3+'Forecast IS &amp; FCF'!$E$16/(1+$A7)^4+'Forecast IS &amp; FCF'!$F$16/(1+$A7)^5)+('Forecast IS &amp; FCF'!$F$16*(1+F$4))/($A7-F$4)/(1+$A7)^5-Historicals!$F$16)/Historicals!$F$13</f>
        <v>28.3233769702245</v>
      </c>
    </row>
    <row r="8" customFormat="false" ht="15" hidden="false" customHeight="false" outlineLevel="0" collapsed="false">
      <c r="A8" s="16" t="n">
        <f aca="false">WACC!$B$18+(0.005)</f>
        <v>0.0798600784606763</v>
      </c>
      <c r="B8" s="25" t="n">
        <f aca="false">(('Forecast IS &amp; FCF'!$B$16/(1+$A8)^1+'Forecast IS &amp; FCF'!$C$16/(1+$A8)^2+'Forecast IS &amp; FCF'!$D$16/(1+$A8)^3+'Forecast IS &amp; FCF'!$E$16/(1+$A8)^4+'Forecast IS &amp; FCF'!$F$16/(1+$A8)^5)+('Forecast IS &amp; FCF'!$F$16*(1+B$4))/($A8-B$4)/(1+$A8)^5-Historicals!$F$16)/Historicals!$F$13</f>
        <v>17.641888152891</v>
      </c>
      <c r="C8" s="25" t="n">
        <f aca="false">(('Forecast IS &amp; FCF'!$B$16/(1+$A8)^1+'Forecast IS &amp; FCF'!$C$16/(1+$A8)^2+'Forecast IS &amp; FCF'!$D$16/(1+$A8)^3+'Forecast IS &amp; FCF'!$E$16/(1+$A8)^4+'Forecast IS &amp; FCF'!$F$16/(1+$A8)^5)+('Forecast IS &amp; FCF'!$F$16*(1+C$4))/($A8-C$4)/(1+$A8)^5-Historicals!$F$16)/Historicals!$F$13</f>
        <v>18.9926099770419</v>
      </c>
      <c r="D8" s="25" t="n">
        <f aca="false">(('Forecast IS &amp; FCF'!$B$16/(1+$A8)^1+'Forecast IS &amp; FCF'!$C$16/(1+$A8)^2+'Forecast IS &amp; FCF'!$D$16/(1+$A8)^3+'Forecast IS &amp; FCF'!$E$16/(1+$A8)^4+'Forecast IS &amp; FCF'!$F$16/(1+$A8)^5)+('Forecast IS &amp; FCF'!$F$16*(1+D$4))/($A8-D$4)/(1+$A8)^5-Historicals!$F$16)/Historicals!$F$13</f>
        <v>20.58954395802</v>
      </c>
      <c r="E8" s="25" t="n">
        <f aca="false">(('Forecast IS &amp; FCF'!$B$16/(1+$A8)^1+'Forecast IS &amp; FCF'!$C$16/(1+$A8)^2+'Forecast IS &amp; FCF'!$D$16/(1+$A8)^3+'Forecast IS &amp; FCF'!$E$16/(1+$A8)^4+'Forecast IS &amp; FCF'!$F$16/(1+$A8)^5)+('Forecast IS &amp; FCF'!$F$16*(1+E$4))/($A8-E$4)/(1+$A8)^5-Historicals!$F$16)/Historicals!$F$13</f>
        <v>22.5067610252426</v>
      </c>
      <c r="F8" s="25" t="n">
        <f aca="false">(('Forecast IS &amp; FCF'!$B$16/(1+$A8)^1+'Forecast IS &amp; FCF'!$C$16/(1+$A8)^2+'Forecast IS &amp; FCF'!$D$16/(1+$A8)^3+'Forecast IS &amp; FCF'!$E$16/(1+$A8)^4+'Forecast IS &amp; FCF'!$F$16/(1+$A8)^5)+('Forecast IS &amp; FCF'!$F$16*(1+F$4))/($A8-F$4)/(1+$A8)^5-Historicals!$F$16)/Historicals!$F$13</f>
        <v>24.8513552021381</v>
      </c>
    </row>
    <row r="9" customFormat="false" ht="15" hidden="false" customHeight="false" outlineLevel="0" collapsed="false">
      <c r="A9" s="16" t="n">
        <f aca="false">WACC!$B$18+(0.01)</f>
        <v>0.0848600784606763</v>
      </c>
      <c r="B9" s="25" t="n">
        <f aca="false">(('Forecast IS &amp; FCF'!$B$16/(1+$A9)^1+'Forecast IS &amp; FCF'!$C$16/(1+$A9)^2+'Forecast IS &amp; FCF'!$D$16/(1+$A9)^3+'Forecast IS &amp; FCF'!$E$16/(1+$A9)^4+'Forecast IS &amp; FCF'!$F$16/(1+$A9)^5)+('Forecast IS &amp; FCF'!$F$16*(1+B$4))/($A9-B$4)/(1+$A9)^5-Historicals!$F$16)/Historicals!$F$13</f>
        <v>16.1643100506728</v>
      </c>
      <c r="C9" s="25" t="n">
        <f aca="false">(('Forecast IS &amp; FCF'!$B$16/(1+$A9)^1+'Forecast IS &amp; FCF'!$C$16/(1+$A9)^2+'Forecast IS &amp; FCF'!$D$16/(1+$A9)^3+'Forecast IS &amp; FCF'!$E$16/(1+$A9)^4+'Forecast IS &amp; FCF'!$F$16/(1+$A9)^5)+('Forecast IS &amp; FCF'!$F$16*(1+C$4))/($A9-C$4)/(1+$A9)^5-Historicals!$F$16)/Historicals!$F$13</f>
        <v>17.3004953389786</v>
      </c>
      <c r="D9" s="25" t="n">
        <f aca="false">(('Forecast IS &amp; FCF'!$B$16/(1+$A9)^1+'Forecast IS &amp; FCF'!$C$16/(1+$A9)^2+'Forecast IS &amp; FCF'!$D$16/(1+$A9)^3+'Forecast IS &amp; FCF'!$E$16/(1+$A9)^4+'Forecast IS &amp; FCF'!$F$16/(1+$A9)^5)+('Forecast IS &amp; FCF'!$F$16*(1+D$4))/($A9-D$4)/(1+$A9)^5-Historicals!$F$16)/Historicals!$F$13</f>
        <v>18.6264874764438</v>
      </c>
      <c r="E9" s="25" t="n">
        <f aca="false">(('Forecast IS &amp; FCF'!$B$16/(1+$A9)^1+'Forecast IS &amp; FCF'!$C$16/(1+$A9)^2+'Forecast IS &amp; FCF'!$D$16/(1+$A9)^3+'Forecast IS &amp; FCF'!$E$16/(1+$A9)^4+'Forecast IS &amp; FCF'!$F$16/(1+$A9)^5)+('Forecast IS &amp; FCF'!$F$16*(1+E$4))/($A9-E$4)/(1+$A9)^5-Historicals!$F$16)/Historicals!$F$13</f>
        <v>20.1941839961614</v>
      </c>
      <c r="F9" s="25" t="n">
        <f aca="false">(('Forecast IS &amp; FCF'!$B$16/(1+$A9)^1+'Forecast IS &amp; FCF'!$C$16/(1+$A9)^2+'Forecast IS &amp; FCF'!$D$16/(1+$A9)^3+'Forecast IS &amp; FCF'!$E$16/(1+$A9)^4+'Forecast IS &amp; FCF'!$F$16/(1+$A9)^5)+('Forecast IS &amp; FCF'!$F$16*(1+F$4))/($A9-F$4)/(1+$A9)^5-Historicals!$F$16)/Historicals!$F$13</f>
        <v>22.0762997001476</v>
      </c>
    </row>
    <row r="11" customFormat="false" ht="15" hidden="false" customHeight="false" outlineLevel="0" collapsed="false">
      <c r="A11" s="10" t="s">
        <v>131</v>
      </c>
    </row>
    <row r="12" customFormat="false" ht="15" hidden="false" customHeight="false" outlineLevel="0" collapsed="false">
      <c r="A12" s="10" t="s">
        <v>132</v>
      </c>
    </row>
    <row r="13" customFormat="false" ht="15" hidden="false" customHeight="false" outlineLevel="0" collapsed="false">
      <c r="A13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5" t="s">
        <v>135</v>
      </c>
      <c r="B3" s="5" t="s">
        <v>136</v>
      </c>
    </row>
    <row r="4" customFormat="false" ht="15" hidden="false" customHeight="true" outlineLevel="0" collapsed="false">
      <c r="A4" s="2" t="s">
        <v>137</v>
      </c>
      <c r="B4" s="26" t="s">
        <v>138</v>
      </c>
    </row>
    <row r="5" customFormat="false" ht="15" hidden="false" customHeight="true" outlineLevel="0" collapsed="false">
      <c r="A5" s="2" t="s">
        <v>139</v>
      </c>
      <c r="B5" s="26" t="s">
        <v>140</v>
      </c>
    </row>
    <row r="6" customFormat="false" ht="15" hidden="false" customHeight="true" outlineLevel="0" collapsed="false">
      <c r="A6" s="2" t="s">
        <v>141</v>
      </c>
      <c r="B6" s="26" t="s">
        <v>142</v>
      </c>
    </row>
    <row r="7" customFormat="false" ht="15" hidden="false" customHeight="true" outlineLevel="0" collapsed="false">
      <c r="A7" s="2" t="s">
        <v>143</v>
      </c>
      <c r="B7" s="26" t="s">
        <v>144</v>
      </c>
    </row>
    <row r="8" customFormat="false" ht="15" hidden="false" customHeight="true" outlineLevel="0" collapsed="false">
      <c r="A8" s="2" t="s">
        <v>145</v>
      </c>
      <c r="B8" s="26" t="s">
        <v>146</v>
      </c>
    </row>
    <row r="9" customFormat="false" ht="15" hidden="false" customHeight="true" outlineLevel="0" collapsed="false">
      <c r="A9" s="2" t="s">
        <v>147</v>
      </c>
      <c r="B9" s="26" t="s">
        <v>148</v>
      </c>
    </row>
    <row r="10" customFormat="false" ht="15" hidden="false" customHeight="true" outlineLevel="0" collapsed="false">
      <c r="A10" s="2" t="s">
        <v>149</v>
      </c>
      <c r="B10" s="26" t="s">
        <v>150</v>
      </c>
    </row>
    <row r="11" customFormat="false" ht="15" hidden="false" customHeight="true" outlineLevel="0" collapsed="false">
      <c r="A11" s="2" t="s">
        <v>151</v>
      </c>
      <c r="B11" s="26" t="s">
        <v>152</v>
      </c>
    </row>
    <row r="12" customFormat="false" ht="15" hidden="false" customHeight="true" outlineLevel="0" collapsed="false">
      <c r="A12" s="2" t="s">
        <v>153</v>
      </c>
      <c r="B12" s="26" t="s">
        <v>154</v>
      </c>
    </row>
    <row r="13" customFormat="false" ht="15" hidden="false" customHeight="true" outlineLevel="0" collapsed="false">
      <c r="A13" s="2" t="s">
        <v>155</v>
      </c>
      <c r="B13" s="26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2026-08-15T05:22:30Z</dcterms:created>
  <dc:creator>Abia Khan</dc:creator>
  <dc:description/>
  <dc:language>en-US</dc:language>
  <cp:lastModifiedBy>Abia Khan</cp:lastModifiedBy>
  <dcterms:modified xsi:type="dcterms:W3CDTF">2026-08-15T05:22:30Z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