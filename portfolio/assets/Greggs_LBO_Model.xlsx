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ansaction Assumptions" sheetId="2" state="visible" r:id="rId4"/>
    <sheet name="Sources &amp; Uses" sheetId="3" state="visible" r:id="rId5"/>
    <sheet name="Debt Schedule" sheetId="4" state="visible" r:id="rId6"/>
    <sheet name="Income Statement" sheetId="5" state="visible" r:id="rId7"/>
    <sheet name="Cash Flow &amp; Returns" sheetId="6" state="visible" r:id="rId8"/>
    <sheet name="Sensitivity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<sst xmlns="http://schemas.openxmlformats.org/spreadsheetml/2006/main" count="160" uniqueCount="142">
  <si>
    <t xml:space="preserve">Greggs plc (LON:GRG) — Leveraged Buyout (LBO) Model</t>
  </si>
  <si>
    <t xml:space="preserve">Prepared by: Abia Khan | khan.abia1013@gmail.com</t>
  </si>
  <si>
    <t xml:space="preserve">WHY GREGGS, NOT BURBERRY: LBOs work on cash-generative, low-volatility businesses that can service debt reliably.</t>
  </si>
  <si>
    <t xml:space="preserve">Burberry (used for the Comps and DCF models) is mid-turnaround with volatile/near-zero net income — a poor LBO</t>
  </si>
  <si>
    <t xml:space="preserve">candidate. Greggs is a stable, cash-generative UK consumer staples business (food-on-the-go bakery retail), which</t>
  </si>
  <si>
    <t xml:space="preserve">is the textbook LBO profile.</t>
  </si>
  <si>
    <t xml:space="preserve">DATA AS OF: 15 August 2026. Source: stockanalysis.com (Fiscal.ai data). Full URLs on the Sources tab.</t>
  </si>
  <si>
    <t xml:space="preserve">KEY JUDGEMENT CALLS:</t>
  </si>
  <si>
    <t xml:space="preserve">1. Entry multiple: set at 6.2x EBITDA, in line with Greggs' current trading EV/EBITDA (~6.1-6.2x as of Aug 2026,</t>
  </si>
  <si>
    <t xml:space="preserve">    per stockanalysis.com), i.e. NOT a takeover premium — this models a 'take-private at market' scenario, the most</t>
  </si>
  <si>
    <t xml:space="preserve">    defensible base case for a company with no live bid. A real sponsor would typically pay a 20-30% premium; that</t>
  </si>
  <si>
    <t xml:space="preserve">    would proportionally lower IRR, which the sensitivity table lets you see directly.</t>
  </si>
  <si>
    <t xml:space="preserve">2. Leverage: New Term Loan sized at 4.5x EBITDA (mid-point of the 4-5x range for a stable consumer staples</t>
  </si>
  <si>
    <t xml:space="preserve">    credit), which is conservative relative to peak-2021-era leveraged loan markets (5.5-6x+) and reflects a more</t>
  </si>
  <si>
    <t xml:space="preserve">    disciplined post-2022 rate environment.</t>
  </si>
  <si>
    <t xml:space="preserve">3. EBITDA margin held flat at the FY2025 actual (16.0%), with modest 'operational improvement' of +30bps/year —</t>
  </si>
  <si>
    <t xml:space="preserve">    a conservative assumption; most sponsor models assume more aggressive margin expansion.</t>
  </si>
  <si>
    <t xml:space="preserve">4. Exit multiple: held equal to entry (6.2x) as the conservative 'no multiple expansion' base case. The</t>
  </si>
  <si>
    <t xml:space="preserve">    sensitivity table shows the IRR impact of multiple expansion or compression at exit.</t>
  </si>
  <si>
    <t xml:space="preserve">5. Cash sweep: 80% of excess cash flow swept to mandatory + optional Term Loan paydown each year (100% sweep is a</t>
  </si>
  <si>
    <t xml:space="preserve">    common alternative but assumes zero reinvestment need, which is unrealistic for a growing store estate).</t>
  </si>
  <si>
    <t xml:space="preserve">Transaction Assumptions</t>
  </si>
  <si>
    <t xml:space="preserve">Input</t>
  </si>
  <si>
    <t xml:space="preserve">Value</t>
  </si>
  <si>
    <t xml:space="preserve">Target FY2025 EBITDA (£m)</t>
  </si>
  <si>
    <t xml:space="preserve">stockanalysis.com Income Statement, FY2025 (Jan-Dec fiscal year)</t>
  </si>
  <si>
    <t xml:space="preserve">&lt;- Year-0 Revenue base (£m)</t>
  </si>
  <si>
    <t xml:space="preserve">Entry EV/EBITDA multiple</t>
  </si>
  <si>
    <t xml:space="preserve">stockanalysis.com Statistics, EV/EBITDA ~6.1-6.2x, 15 Aug 2026 (current trading multiple, no premium)</t>
  </si>
  <si>
    <t xml:space="preserve">Transaction fees (% of EV)</t>
  </si>
  <si>
    <t xml:space="preserve">Standard LBO assumption (~2% of EV)</t>
  </si>
  <si>
    <t xml:space="preserve">New Term Loan (x EBITDA)</t>
  </si>
  <si>
    <t xml:space="preserve">Mid-point of a 4-5x EBITDA range typical for a stable consumer staples credit</t>
  </si>
  <si>
    <t xml:space="preserve">Term Loan interest rate (SOFR/Base + spread)</t>
  </si>
  <si>
    <t xml:space="preserve">BoE Bank Rate ~4.0% (Aug 2026) + ~490bps leveraged loan spread, illustrative</t>
  </si>
  <si>
    <t xml:space="preserve">Mandatory amortisation (% of Term Loan / yr)</t>
  </si>
  <si>
    <t xml:space="preserve">Standard institutional Term Loan B convention</t>
  </si>
  <si>
    <t xml:space="preserve">Cash sweep (% of excess FCF swept to debt)</t>
  </si>
  <si>
    <t xml:space="preserve">80% (not 100%) allows for reinvestment</t>
  </si>
  <si>
    <t xml:space="preserve">Existing net debt refinanced (£m)</t>
  </si>
  <si>
    <t xml:space="preserve">stockanalysis.com Statistics: Total debt £474.8m less cash £70.8m, 15 Aug 2026</t>
  </si>
  <si>
    <t xml:space="preserve">Revenue growth Year 1-5 (avg)</t>
  </si>
  <si>
    <t xml:space="preserve">In line with FY2023-25 average reported growth (6.8-19.6%, decelerating) — see Historicals</t>
  </si>
  <si>
    <t xml:space="preserve">Tax rate</t>
  </si>
  <si>
    <t xml:space="preserve">UK statutory corporate tax rate</t>
  </si>
  <si>
    <t xml:space="preserve">Exit year</t>
  </si>
  <si>
    <t xml:space="preserve">Standard 5-year LBO hold period</t>
  </si>
  <si>
    <t xml:space="preserve">Exit EV/EBITDA multiple</t>
  </si>
  <si>
    <t xml:space="preserve">Equal to entry multiple (conservative, no multiple expansion assumed — see README)</t>
  </si>
  <si>
    <t xml:space="preserve">Revenue growth by year: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</si>
  <si>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</si>
  <si>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</si>
  <si>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</si>
  <si>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</si>
  <si>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</si>
  <si>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  Revenue growth %</t>
  </si>
  <si>
    <t xml:space="preserve">  EBITDA margin %</t>
  </si>
  <si>
    <t xml:space="preserve">Revenue growth tapers from FY2023-25 average (~12.5%) toward a more mature 5.5-7.5% range, reflecting continued UK store rollout slowing as the estate matures.</t>
  </si>
  <si>
    <t xml:space="preserve">EBITDA margin: FY2025 actual 16.0% + ~30bps/year 'operational improvement' (cost discipline / supply chain), a conservative assumption flagged per README.</t>
  </si>
  <si>
    <t xml:space="preserve">Sources &amp; Uses of Funds (£m)</t>
  </si>
  <si>
    <t xml:space="preserve">Uses</t>
  </si>
  <si>
    <t xml:space="preserve">£m</t>
  </si>
  <si>
    <t xml:space="preserve">Sources</t>
  </si>
  <si>
    <t xml:space="preserve">Entry EV = EBITDA x Entry Multiple</t>
  </si>
  <si>
    <t xml:space="preserve">Purchase of Equity (= Entry EV - existing net debt)</t>
  </si>
  <si>
    <t xml:space="preserve">New Revolver (undrawn at close)</t>
  </si>
  <si>
    <t xml:space="preserve">Refinance existing net debt</t>
  </si>
  <si>
    <t xml:space="preserve">Sponsor Equity (plug)</t>
  </si>
  <si>
    <t xml:space="preserve">Total Uses</t>
  </si>
  <si>
    <t xml:space="preserve">Total Sources</t>
  </si>
  <si>
    <t xml:space="preserve">Check: Sources = Uses</t>
  </si>
  <si>
    <t xml:space="preserve">Entry leverage: Total Debt / EBITDA</t>
  </si>
  <si>
    <t xml:space="preserve">Sponsor equity as % of Total Sources</t>
  </si>
  <si>
    <t xml:space="preserve">Term Loan Debt Schedule (£m)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</si>
  <si>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</si>
  <si>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</si>
  <si>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</si>
  <si>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</si>
  <si>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</si>
  <si>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Opening Term Loan balance</t>
  </si>
  <si>
    <t xml:space="preserve">Mandatory amortisation</t>
  </si>
  <si>
    <t xml:space="preserve">Optional prepayment (cash sweep)</t>
  </si>
  <si>
    <t xml:space="preserve">Total debt paydown</t>
  </si>
  <si>
    <t xml:space="preserve">Closing Term Loan balance</t>
  </si>
  <si>
    <t xml:space="preserve">Average balance (for interest calc)</t>
  </si>
  <si>
    <t xml:space="preserve">Interest expense</t>
  </si>
  <si>
    <t xml:space="preserve">Interest is calculated on the OPENING Term Loan balance each year, not the average of opening/closing. A true average-balance calc creates a circular</t>
  </si>
  <si>
    <t xml:space="preserve">reference (interest -&gt; net income -&gt; cash swept -&gt; closing balance -&gt; average balance -&gt; interest) that most spreadsheet engines only resolve with iterative</t>
  </si>
  <si>
    <t xml:space="preserve">calculation switched on. Opening-balance interest is a standard, transparent simplification and slightly OVERSTATES interest</t>
  </si>
  <si>
    <t xml:space="preserve">(and so is conservative for IRR) since it ignores the benefit of in-year paydown.</t>
  </si>
  <si>
    <t xml:space="preserve">Post-LBO Forecast Income Statement (£m)</t>
  </si>
  <si>
    <t xml:space="preserve">Revenue</t>
  </si>
  <si>
    <t xml:space="preserve">growth %</t>
  </si>
  <si>
    <t xml:space="preserve">EBITDA</t>
  </si>
  <si>
    <t xml:space="preserve">margin %</t>
  </si>
  <si>
    <t xml:space="preserve">D&amp;A</t>
  </si>
  <si>
    <t xml:space="preserve">EBIT</t>
  </si>
  <si>
    <t xml:space="preserve">Interest expense (Term Loan)</t>
  </si>
  <si>
    <t xml:space="preserve">Pre-tax income</t>
  </si>
  <si>
    <t xml:space="preserve">Tax</t>
  </si>
  <si>
    <t xml:space="preserve">Net Income</t>
  </si>
  <si>
    <t xml:space="preserve">D&amp;A (% of revenue, held at FY2025 actual 4.2%)</t>
  </si>
  <si>
    <t xml:space="preserve">Note: base-year (T=0) Revenue in the Transaction Assumptions tab uses the FY2025 EBITDA-implied revenue base (EBITDA/margin) for consistency.</t>
  </si>
  <si>
    <t xml:space="preserve">Cash Flow Available for Debt Paydown &amp; Sponsor Returns</t>
  </si>
  <si>
    <t xml:space="preserve">Add back: D&amp;A</t>
  </si>
  <si>
    <t xml:space="preserve">Less: CapEx</t>
  </si>
  <si>
    <t xml:space="preserve">Less: Increase in NWC</t>
  </si>
  <si>
    <t xml:space="preserve">Less: Mandatory amortisation</t>
  </si>
  <si>
    <t xml:space="preserve">Cash available before sweep</t>
  </si>
  <si>
    <t xml:space="preserve">Cash swept (80%) -&gt; Optional prepayment</t>
  </si>
  <si>
    <t xml:space="preserve">CapEx (% of revenue, FY2025 actual)</t>
  </si>
  <si>
    <t xml:space="preserve">NWC change assumed proportional to revenue growth at 3% of revenue (FY2025 Working Capital was negative/-7.1% of revenue — modest cash-generative NWC dynamic for a cash retail business).</t>
  </si>
  <si>
    <t xml:space="preserve">EXIT &amp; RETURNS</t>
  </si>
  <si>
    <t xml:space="preserve">Year 5 EBITDA</t>
  </si>
  <si>
    <t xml:space="preserve">Exit Enterprise Value</t>
  </si>
  <si>
    <t xml:space="preserve">Less: remaining Term Loan balance (Year 5 close)</t>
  </si>
  <si>
    <t xml:space="preserve">Exit Equity Value</t>
  </si>
  <si>
    <t xml:space="preserve">Initial Sponsor Equity</t>
  </si>
  <si>
    <t xml:space="preserve">MOIC = Exit Equity / Initial Equity</t>
  </si>
  <si>
    <t xml:space="preserve">IRR cash flow (Year 0-5)</t>
  </si>
  <si>
    <t xml:space="preserve">IRR (Excel IRR function)</t>
  </si>
  <si>
    <t xml:space="preserve">MOIC and IRR assume no interim dividends to the sponsor (all cash flow used for debt paydown) — standard base-case LBO convention.</t>
  </si>
  <si>
    <t xml:space="preserve">'Cash available before sweep' is negative in every year, so the cash sweep never triggers (Optional prepayment = £0 each year) —</t>
  </si>
  <si>
    <t xml:space="preserve">the Term Loan only pays down via the 5%/yr mandatory schedule. This is because Greggs' capex (~12% of revenue, reflecting an aggressive UK store rollout — FY2025</t>
  </si>
  <si>
    <t xml:space="preserve">actual) structurally exceeds D&amp;A (~4-5% of revenue), a real feature of this business, not a modelling artefact. The 26.5% IRR / 3.2x MOIC is therefore driven almost</t>
  </si>
  <si>
    <t xml:space="preserve">entirely by EBITDA growth and margin expansion, NOT by deleveraging — an important caveat for any real credit or investment committee memo on this target.</t>
  </si>
  <si>
    <t xml:space="preserve">Sensitivity — MOIC vs Entry Multiple and Exit Multiple</t>
  </si>
  <si>
    <t xml:space="preserve">This grid re-derives Sponsor Equity and Exit Equity algebraically for each Entry x Exit multiple pair, holding leverage, the debt paydown path, and</t>
  </si>
  <si>
    <t xml:space="preserve">operating assumptions fixed at the base case (a transparent simplification — a full rebuild of the debt schedule per cell is beyond a CV-level model).</t>
  </si>
  <si>
    <t xml:space="preserve">MOIC is shown (not IRR) because MOIC is a simple ratio with no convergence risk; IRR moves in the same direction as MOIC for a fixed 5-year hold.</t>
  </si>
  <si>
    <t xml:space="preserve">Entry \ Exit multiple</t>
  </si>
  <si>
    <t xml:space="preserve">Sponsor equity at each entry multiple = (Entry EV x (1+fee%)) - Term Loan (Term Loan held fixed at 4.5x EBITDA, base case). Exit equity = Year-5 EBITDA x exit</t>
  </si>
  <si>
    <t xml:space="preserve">multiple - Year-5 remaining Term Loan (base-case debt paydown path, unaffected by entry price since the loan is sized off EBITDA, not purchase price).</t>
  </si>
  <si>
    <t xml:space="preserve">Data Sources</t>
  </si>
  <si>
    <t xml:space="preserve">Item</t>
  </si>
  <si>
    <t xml:space="preserve">Source / URL</t>
  </si>
  <si>
    <t xml:space="preserve">Income Statement (FY2021-25)</t>
  </si>
  <si>
    <t xml:space="preserve">https://stockanalysis.com/quote/lon/GRG/financials/ — pulled 15 Aug 2026</t>
  </si>
  <si>
    <t xml:space="preserve">Statistics (EV, EV/EBITDA, net debt, beta)</t>
  </si>
  <si>
    <t xml:space="preserve">https://stockanalysis.com/quote/lon/GRG/statistics/ — pulled 15 Aug 2026</t>
  </si>
  <si>
    <t xml:space="preserve">BoE Bank Rate (for illustrative loan pricing)</t>
  </si>
  <si>
    <t xml:space="preserve">Bank of England, ~4.0% as at Aug 2026 (Bank Rate held per MPC July 2026 decision)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</si>
</sst>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0\x"/>
    <numFmt numFmtId="167" formatCode="0.0%"/>
    <numFmt numFmtId="168" formatCode="0.00%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i val="true"/>
      <sz val="11"/>
      <color rgb="FF000000"/>
      <name val="Cambria"/>
      <family val="0"/>
      <charset val="1"/>
    </font>
    <font>
      <sz val="1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</row>
    <row r="5" customFormat="false" ht="15" hidden="false" customHeight="true" outlineLevel="0" collapsed="false">
      <c r="A5" s="2" t="s">
        <v>2</v>
      </c>
    </row>
    <row r="6" customFormat="false" ht="15" hidden="false" customHeight="true" outlineLevel="0" collapsed="false">
      <c r="A6" s="2" t="s">
        <v>3</v>
      </c>
    </row>
    <row r="7" customFormat="false" ht="15" hidden="false" customHeight="true" outlineLevel="0" collapsed="false">
      <c r="A7" s="2" t="s">
        <v>4</v>
      </c>
    </row>
    <row r="8" customFormat="false" ht="15" hidden="false" customHeight="true" outlineLevel="0" collapsed="false">
      <c r="A8" s="2" t="s">
        <v>5</v>
      </c>
    </row>
    <row r="10" customFormat="false" ht="15" hidden="false" customHeight="true" outlineLevel="0" collapsed="false">
      <c r="A10" s="2" t="s">
        <v>6</v>
      </c>
    </row>
    <row r="12" customFormat="false" ht="15" hidden="false" customHeight="true" outlineLevel="0" collapsed="false">
      <c r="A12" s="2" t="s">
        <v>7</v>
      </c>
    </row>
    <row r="13" customFormat="false" ht="15" hidden="false" customHeight="true" outlineLevel="0" collapsed="false">
      <c r="A13" s="2" t="s">
        <v>8</v>
      </c>
    </row>
    <row r="14" customFormat="false" ht="15" hidden="false" customHeight="true" outlineLevel="0" collapsed="false">
      <c r="A14" s="2" t="s">
        <v>9</v>
      </c>
    </row>
    <row r="15" customFormat="false" ht="15" hidden="false" customHeight="true" outlineLevel="0" collapsed="false">
      <c r="A15" s="2" t="s">
        <v>10</v>
      </c>
    </row>
    <row r="16" customFormat="false" ht="15" hidden="false" customHeight="true" outlineLevel="0" collapsed="false">
      <c r="A16" s="2" t="s">
        <v>11</v>
      </c>
    </row>
    <row r="17" customFormat="false" ht="15" hidden="false" customHeight="true" outlineLevel="0" collapsed="false">
      <c r="A17" s="2" t="s">
        <v>12</v>
      </c>
    </row>
    <row r="18" customFormat="false" ht="15" hidden="false" customHeight="true" outlineLevel="0" collapsed="false">
      <c r="A18" s="2" t="s">
        <v>13</v>
      </c>
    </row>
    <row r="19" customFormat="false" ht="15" hidden="false" customHeight="true" outlineLevel="0" collapsed="false">
      <c r="A19" s="2" t="s">
        <v>14</v>
      </c>
    </row>
    <row r="20" customFormat="false" ht="15" hidden="false" customHeight="true" outlineLevel="0" collapsed="false">
      <c r="A20" s="2" t="s">
        <v>15</v>
      </c>
    </row>
    <row r="21" customFormat="false" ht="15" hidden="false" customHeight="true" outlineLevel="0" collapsed="false">
      <c r="A21" s="2" t="s">
        <v>16</v>
      </c>
    </row>
    <row r="22" customFormat="false" ht="15" hidden="false" customHeight="true" outlineLevel="0" collapsed="false">
      <c r="A22" s="2" t="s">
        <v>17</v>
      </c>
    </row>
    <row r="23" customFormat="false" ht="15" hidden="false" customHeight="true" outlineLevel="0" collapsed="false">
      <c r="A23" s="2" t="s">
        <v>18</v>
      </c>
    </row>
    <row r="24" customFormat="false" ht="15" hidden="false" customHeight="true" outlineLevel="0" collapsed="false">
      <c r="A24" s="2" t="s">
        <v>19</v>
      </c>
    </row>
    <row r="25" customFormat="false" ht="15" hidden="false" customHeight="true" outlineLevel="0" collapsed="false">
      <c r="A2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21</v>
      </c>
    </row>
    <row r="3" customFormat="false" ht="15" hidden="false" customHeight="false" outlineLevel="0" collapsed="false">
      <c r="A3" s="3" t="s">
        <v>22</v>
      </c>
      <c r="B3" s="3" t="s">
        <v>23</v>
      </c>
    </row>
    <row r="4" customFormat="false" ht="15" hidden="false" customHeight="false" outlineLevel="0" collapsed="false">
      <c r="A4" s="2" t="s">
        <v>24</v>
      </c>
      <c r="B4" s="4" t="n">
        <v>344.3</v>
      </c>
      <c r="C4" s="5" t="s">
        <v>25</v>
      </c>
      <c r="E4" s="2" t="s">
        <v>26</v>
      </c>
      <c r="F4" s="6" t="n">
        <f aca="false">B4/0.16</f>
        <v>2151.875</v>
      </c>
    </row>
    <row r="5" customFormat="false" ht="15" hidden="false" customHeight="false" outlineLevel="0" collapsed="false">
      <c r="A5" s="2" t="s">
        <v>27</v>
      </c>
      <c r="B5" s="7" t="n">
        <v>6.2</v>
      </c>
      <c r="C5" s="5" t="s">
        <v>28</v>
      </c>
    </row>
    <row r="6" customFormat="false" ht="15" hidden="false" customHeight="false" outlineLevel="0" collapsed="false">
      <c r="A6" s="2" t="s">
        <v>29</v>
      </c>
      <c r="B6" s="8" t="n">
        <v>0.02</v>
      </c>
      <c r="C6" s="5" t="s">
        <v>30</v>
      </c>
    </row>
    <row r="7" customFormat="false" ht="15" hidden="false" customHeight="false" outlineLevel="0" collapsed="false">
      <c r="A7" s="2" t="s">
        <v>31</v>
      </c>
      <c r="B7" s="7" t="n">
        <v>4.5</v>
      </c>
      <c r="C7" s="5" t="s">
        <v>32</v>
      </c>
    </row>
    <row r="8" customFormat="false" ht="15" hidden="false" customHeight="false" outlineLevel="0" collapsed="false">
      <c r="A8" s="2" t="s">
        <v>33</v>
      </c>
      <c r="B8" s="9" t="n">
        <v>0.0897</v>
      </c>
      <c r="C8" s="5" t="s">
        <v>34</v>
      </c>
    </row>
    <row r="9" customFormat="false" ht="15" hidden="false" customHeight="false" outlineLevel="0" collapsed="false">
      <c r="A9" s="2" t="s">
        <v>35</v>
      </c>
      <c r="B9" s="8" t="n">
        <v>0.05</v>
      </c>
      <c r="C9" s="5" t="s">
        <v>36</v>
      </c>
    </row>
    <row r="10" customFormat="false" ht="15" hidden="false" customHeight="false" outlineLevel="0" collapsed="false">
      <c r="A10" s="2" t="s">
        <v>37</v>
      </c>
      <c r="B10" s="8" t="n">
        <v>0.8</v>
      </c>
      <c r="C10" s="5" t="s">
        <v>38</v>
      </c>
    </row>
    <row r="11" customFormat="false" ht="15" hidden="false" customHeight="false" outlineLevel="0" collapsed="false">
      <c r="A11" s="2" t="s">
        <v>39</v>
      </c>
      <c r="B11" s="4" t="n">
        <v>404</v>
      </c>
      <c r="C11" s="5" t="s">
        <v>40</v>
      </c>
    </row>
    <row r="12" customFormat="false" ht="15" hidden="false" customHeight="false" outlineLevel="0" collapsed="false">
      <c r="A12" s="2" t="s">
        <v>41</v>
      </c>
      <c r="B12" s="8" t="n">
        <v>0.065</v>
      </c>
      <c r="C12" s="5" t="s">
        <v>42</v>
      </c>
    </row>
    <row r="13" customFormat="false" ht="15" hidden="false" customHeight="false" outlineLevel="0" collapsed="false">
      <c r="A13" s="2" t="s">
        <v>43</v>
      </c>
      <c r="B13" s="8" t="n">
        <v>0.25</v>
      </c>
      <c r="C13" s="5" t="s">
        <v>44</v>
      </c>
    </row>
    <row r="14" customFormat="false" ht="15" hidden="false" customHeight="false" outlineLevel="0" collapsed="false">
      <c r="A14" s="2" t="s">
        <v>45</v>
      </c>
      <c r="B14" s="10" t="n">
        <v>5</v>
      </c>
      <c r="C14" s="5" t="s">
        <v>46</v>
      </c>
    </row>
    <row r="15" customFormat="false" ht="15" hidden="false" customHeight="false" outlineLevel="0" collapsed="false">
      <c r="A15" s="2" t="s">
        <v>47</v>
      </c>
      <c r="B15" s="7" t="n">
        <v>6.2</v>
      </c>
      <c r="C15" s="5" t="s">
        <v>48</v>
      </c>
    </row>
    <row r="17" customFormat="false" ht="15" hidden="false" customHeight="false" outlineLevel="0" collapsed="false">
      <c r="A17" s="11" t="s">
        <v>49</v>
      </c>
    </row>
    <row r="18" customFormat="false" ht="15" hidden="false" customHeight="false" outlineLevel="0" collapsed="false"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</row>
    <row r="19" customFormat="false" ht="15" hidden="false" customHeight="false" outlineLevel="0" collapsed="false">
      <c r="A19" s="2" t="s">
        <v>55</v>
      </c>
      <c r="B19" s="8" t="n">
        <v>0.075</v>
      </c>
      <c r="C19" s="8" t="n">
        <v>0.07</v>
      </c>
      <c r="D19" s="8" t="n">
        <v>0.065</v>
      </c>
      <c r="E19" s="8" t="n">
        <v>0.06</v>
      </c>
      <c r="F19" s="8" t="n">
        <v>0.055</v>
      </c>
    </row>
    <row r="20" customFormat="false" ht="15" hidden="false" customHeight="false" outlineLevel="0" collapsed="false">
      <c r="A20" s="2" t="s">
        <v>56</v>
      </c>
      <c r="B20" s="8" t="n">
        <v>0.163</v>
      </c>
      <c r="C20" s="8" t="n">
        <v>0.166</v>
      </c>
      <c r="D20" s="8" t="n">
        <v>0.169</v>
      </c>
      <c r="E20" s="8" t="n">
        <v>0.172</v>
      </c>
      <c r="F20" s="8" t="n">
        <v>0.175</v>
      </c>
    </row>
    <row r="22" customFormat="false" ht="15" hidden="false" customHeight="false" outlineLevel="0" collapsed="false">
      <c r="A22" s="5" t="s">
        <v>57</v>
      </c>
    </row>
    <row r="23" customFormat="false" ht="15" hidden="false" customHeight="false" outlineLevel="0" collapsed="false">
      <c r="A23" s="5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59</v>
      </c>
    </row>
    <row r="3" customFormat="false" ht="15" hidden="false" customHeight="false" outlineLevel="0" collapsed="false">
      <c r="A3" s="3" t="s">
        <v>60</v>
      </c>
      <c r="B3" s="3" t="s">
        <v>61</v>
      </c>
      <c r="C3" s="3" t="s">
        <v>62</v>
      </c>
      <c r="D3" s="3" t="s">
        <v>61</v>
      </c>
    </row>
    <row r="4" customFormat="false" ht="15" hidden="false" customHeight="false" outlineLevel="0" collapsed="false">
      <c r="A4" s="11" t="s">
        <v>63</v>
      </c>
      <c r="B4" s="12" t="n">
        <f aca="false">'Transaction Assumptions'!B4*'Transaction Assumptions'!B5</f>
        <v>2134.66</v>
      </c>
      <c r="C4" s="2" t="s">
        <v>31</v>
      </c>
      <c r="D4" s="6" t="n">
        <f aca="false">'Transaction Assumptions'!B4*'Transaction Assumptions'!B7</f>
        <v>1549.35</v>
      </c>
    </row>
    <row r="5" customFormat="false" ht="15" hidden="false" customHeight="false" outlineLevel="0" collapsed="false">
      <c r="A5" s="2" t="s">
        <v>64</v>
      </c>
      <c r="B5" s="6" t="n">
        <f aca="false">B4-'Transaction Assumptions'!B11</f>
        <v>1730.66</v>
      </c>
      <c r="C5" s="2" t="s">
        <v>65</v>
      </c>
      <c r="D5" s="4" t="n">
        <v>0</v>
      </c>
    </row>
    <row r="6" customFormat="false" ht="15" hidden="false" customHeight="false" outlineLevel="0" collapsed="false">
      <c r="A6" s="2" t="s">
        <v>66</v>
      </c>
      <c r="B6" s="6" t="n">
        <f aca="false">'Transaction Assumptions'!B11</f>
        <v>404</v>
      </c>
      <c r="C6" s="11" t="s">
        <v>67</v>
      </c>
      <c r="D6" s="12" t="n">
        <f aca="false">B8-D4-D5</f>
        <v>628.0032</v>
      </c>
    </row>
    <row r="7" customFormat="false" ht="15" hidden="false" customHeight="false" outlineLevel="0" collapsed="false">
      <c r="A7" s="2" t="s">
        <v>29</v>
      </c>
      <c r="B7" s="6" t="n">
        <f aca="false">B4*'Transaction Assumptions'!B6</f>
        <v>42.6932</v>
      </c>
      <c r="C7" s="2"/>
    </row>
    <row r="8" customFormat="false" ht="15" hidden="false" customHeight="false" outlineLevel="0" collapsed="false">
      <c r="A8" s="11" t="s">
        <v>68</v>
      </c>
      <c r="B8" s="13" t="n">
        <f aca="false">B5+B6+B7</f>
        <v>2177.3532</v>
      </c>
      <c r="C8" s="11" t="s">
        <v>69</v>
      </c>
      <c r="D8" s="13" t="n">
        <f aca="false">D4+D5+D6</f>
        <v>2177.3532</v>
      </c>
    </row>
    <row r="10" customFormat="false" ht="15" hidden="false" customHeight="false" outlineLevel="0" collapsed="false">
      <c r="A10" s="2" t="s">
        <v>70</v>
      </c>
      <c r="B10" s="6" t="n">
        <f aca="false">D8-B8</f>
        <v>0</v>
      </c>
    </row>
    <row r="12" customFormat="false" ht="15" hidden="false" customHeight="false" outlineLevel="0" collapsed="false">
      <c r="A12" s="11" t="s">
        <v>71</v>
      </c>
      <c r="B12" s="14" t="n">
        <f aca="false">D4/'Transaction Assumptions'!B4</f>
        <v>4.5</v>
      </c>
    </row>
    <row r="13" customFormat="false" ht="15" hidden="false" customHeight="false" outlineLevel="0" collapsed="false">
      <c r="A13" s="2" t="s">
        <v>72</v>
      </c>
      <c r="B13" s="15" t="n">
        <f aca="false">D6/D8</f>
        <v>0.28842504743833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73</v>
      </c>
    </row>
    <row r="3" customFormat="false" ht="15" hidden="false" customHeight="false" outlineLevel="0" collapsed="false">
      <c r="A3" s="3" t="s">
        <v>61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</row>
    <row r="4" customFormat="false" ht="15" hidden="false" customHeight="false" outlineLevel="0" collapsed="false">
      <c r="A4" s="2" t="s">
        <v>79</v>
      </c>
      <c r="B4" s="6" t="n">
        <f aca="false">'Sources &amp; Uses'!D4</f>
        <v>1549.35</v>
      </c>
      <c r="C4" s="6" t="n">
        <f aca="false">B8</f>
        <v>1471.8825</v>
      </c>
      <c r="D4" s="6" t="n">
        <f aca="false">C8</f>
        <v>1394.415</v>
      </c>
      <c r="E4" s="6" t="n">
        <f aca="false">D8</f>
        <v>1316.9475</v>
      </c>
      <c r="F4" s="6" t="n">
        <f aca="false">E8</f>
        <v>1239.48</v>
      </c>
    </row>
    <row r="5" customFormat="false" ht="15" hidden="false" customHeight="false" outlineLevel="0" collapsed="false">
      <c r="A5" s="2" t="s">
        <v>80</v>
      </c>
      <c r="B5" s="6" t="n">
        <f aca="false">MIN(B4,'Sources &amp; Uses'!$D$4*'Transaction Assumptions'!$B$9)</f>
        <v>77.4675</v>
      </c>
      <c r="C5" s="6" t="n">
        <f aca="false">MIN(C4,'Sources &amp; Uses'!$D$4*'Transaction Assumptions'!$B$9)</f>
        <v>77.4675</v>
      </c>
      <c r="D5" s="6" t="n">
        <f aca="false">MIN(D4,'Sources &amp; Uses'!$D$4*'Transaction Assumptions'!$B$9)</f>
        <v>77.4675</v>
      </c>
      <c r="E5" s="6" t="n">
        <f aca="false">MIN(E4,'Sources &amp; Uses'!$D$4*'Transaction Assumptions'!$B$9)</f>
        <v>77.4675</v>
      </c>
      <c r="F5" s="6" t="n">
        <f aca="false">MIN(F4,'Sources &amp; Uses'!$D$4*'Transaction Assumptions'!$B$9)</f>
        <v>77.4675</v>
      </c>
    </row>
    <row r="6" customFormat="false" ht="15" hidden="false" customHeight="false" outlineLevel="0" collapsed="false">
      <c r="A6" s="2" t="s">
        <v>81</v>
      </c>
      <c r="B6" s="6" t="n">
        <f aca="false">MIN(B4-B5,'Cash Flow &amp; Returns'!B10)</f>
        <v>0</v>
      </c>
      <c r="C6" s="6" t="n">
        <f aca="false">MIN(C4-C5,'Cash Flow &amp; Returns'!C10)</f>
        <v>0</v>
      </c>
      <c r="D6" s="6" t="n">
        <f aca="false">MIN(D4-D5,'Cash Flow &amp; Returns'!D10)</f>
        <v>0</v>
      </c>
      <c r="E6" s="6" t="n">
        <f aca="false">MIN(E4-E5,'Cash Flow &amp; Returns'!E10)</f>
        <v>0</v>
      </c>
      <c r="F6" s="6" t="n">
        <f aca="false">MIN(F4-F5,'Cash Flow &amp; Returns'!F10)</f>
        <v>0</v>
      </c>
    </row>
    <row r="7" customFormat="false" ht="15" hidden="false" customHeight="false" outlineLevel="0" collapsed="false">
      <c r="A7" s="2" t="s">
        <v>82</v>
      </c>
      <c r="B7" s="6" t="n">
        <f aca="false">B5+B6</f>
        <v>77.4675</v>
      </c>
      <c r="C7" s="6" t="n">
        <f aca="false">C5+C6</f>
        <v>77.4675</v>
      </c>
      <c r="D7" s="6" t="n">
        <f aca="false">D5+D6</f>
        <v>77.4675</v>
      </c>
      <c r="E7" s="6" t="n">
        <f aca="false">E5+E6</f>
        <v>77.4675</v>
      </c>
      <c r="F7" s="6" t="n">
        <f aca="false">F5+F6</f>
        <v>77.4675</v>
      </c>
    </row>
    <row r="8" customFormat="false" ht="15" hidden="false" customHeight="false" outlineLevel="0" collapsed="false">
      <c r="A8" s="11" t="s">
        <v>83</v>
      </c>
      <c r="B8" s="12" t="n">
        <f aca="false">B4-B7</f>
        <v>1471.8825</v>
      </c>
      <c r="C8" s="12" t="n">
        <f aca="false">C4-C7</f>
        <v>1394.415</v>
      </c>
      <c r="D8" s="12" t="n">
        <f aca="false">D4-D7</f>
        <v>1316.9475</v>
      </c>
      <c r="E8" s="12" t="n">
        <f aca="false">E4-E7</f>
        <v>1239.48</v>
      </c>
      <c r="F8" s="12" t="n">
        <f aca="false">F4-F7</f>
        <v>1162.0125</v>
      </c>
    </row>
    <row r="9" customFormat="false" ht="15" hidden="false" customHeight="false" outlineLevel="0" collapsed="false">
      <c r="A9" s="2" t="s">
        <v>84</v>
      </c>
      <c r="B9" s="6" t="n">
        <f aca="false">B4</f>
        <v>1549.35</v>
      </c>
      <c r="C9" s="6" t="n">
        <f aca="false">C4</f>
        <v>1471.8825</v>
      </c>
      <c r="D9" s="6" t="n">
        <f aca="false">D4</f>
        <v>1394.415</v>
      </c>
      <c r="E9" s="6" t="n">
        <f aca="false">E4</f>
        <v>1316.9475</v>
      </c>
      <c r="F9" s="6" t="n">
        <f aca="false">F4</f>
        <v>1239.48</v>
      </c>
    </row>
    <row r="10" customFormat="false" ht="15" hidden="false" customHeight="false" outlineLevel="0" collapsed="false">
      <c r="A10" s="2" t="s">
        <v>85</v>
      </c>
      <c r="B10" s="6" t="n">
        <f aca="false">B9*'Transaction Assumptions'!$B$8</f>
        <v>138.976695</v>
      </c>
      <c r="C10" s="6" t="n">
        <f aca="false">C9*'Transaction Assumptions'!$B$8</f>
        <v>132.02786025</v>
      </c>
      <c r="D10" s="6" t="n">
        <f aca="false">D9*'Transaction Assumptions'!$B$8</f>
        <v>125.0790255</v>
      </c>
      <c r="E10" s="6" t="n">
        <f aca="false">E9*'Transaction Assumptions'!$B$8</f>
        <v>118.13019075</v>
      </c>
      <c r="F10" s="6" t="n">
        <f aca="false">F9*'Transaction Assumptions'!$B$8</f>
        <v>111.181356</v>
      </c>
    </row>
    <row r="12" customFormat="false" ht="15" hidden="false" customHeight="false" outlineLevel="0" collapsed="false">
      <c r="A12" s="5" t="s">
        <v>86</v>
      </c>
    </row>
    <row r="13" customFormat="false" ht="15" hidden="false" customHeight="false" outlineLevel="0" collapsed="false">
      <c r="A13" s="5" t="s">
        <v>87</v>
      </c>
    </row>
    <row r="14" customFormat="false" ht="15" hidden="false" customHeight="false" outlineLevel="0" collapsed="false">
      <c r="A14" s="5" t="s">
        <v>88</v>
      </c>
    </row>
    <row r="15" customFormat="false" ht="15" hidden="false" customHeight="false" outlineLevel="0" collapsed="false">
      <c r="A15" s="5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90</v>
      </c>
    </row>
    <row r="3" customFormat="false" ht="15" hidden="false" customHeight="false" outlineLevel="0" collapsed="false">
      <c r="A3" s="3" t="s">
        <v>61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</row>
    <row r="4" customFormat="false" ht="15" hidden="false" customHeight="false" outlineLevel="0" collapsed="false">
      <c r="A4" s="11" t="s">
        <v>91</v>
      </c>
      <c r="B4" s="6" t="n">
        <f aca="false">'Transaction Assumptions'!F4*(1+'Transaction Assumptions'!B19)</f>
        <v>2313.265625</v>
      </c>
      <c r="C4" s="6" t="n">
        <f aca="false">B4*(1+'Transaction Assumptions'!C19)</f>
        <v>2475.19421875</v>
      </c>
      <c r="D4" s="6" t="n">
        <f aca="false">C4*(1+'Transaction Assumptions'!D19)</f>
        <v>2636.08184296875</v>
      </c>
      <c r="E4" s="6" t="n">
        <f aca="false">D4*(1+'Transaction Assumptions'!E19)</f>
        <v>2794.24675354688</v>
      </c>
      <c r="F4" s="6" t="n">
        <f aca="false">E4*(1+'Transaction Assumptions'!F19)</f>
        <v>2947.93032499195</v>
      </c>
    </row>
    <row r="5" customFormat="false" ht="15" hidden="false" customHeight="false" outlineLevel="0" collapsed="false">
      <c r="A5" s="2" t="s">
        <v>92</v>
      </c>
      <c r="B5" s="15" t="n">
        <f aca="false">'Transaction Assumptions'!B19</f>
        <v>0.075</v>
      </c>
      <c r="C5" s="15" t="n">
        <f aca="false">'Transaction Assumptions'!C19</f>
        <v>0.07</v>
      </c>
      <c r="D5" s="15" t="n">
        <f aca="false">'Transaction Assumptions'!D19</f>
        <v>0.065</v>
      </c>
      <c r="E5" s="15" t="n">
        <f aca="false">'Transaction Assumptions'!E19</f>
        <v>0.06</v>
      </c>
      <c r="F5" s="15" t="n">
        <f aca="false">'Transaction Assumptions'!F19</f>
        <v>0.055</v>
      </c>
    </row>
    <row r="6" customFormat="false" ht="15" hidden="false" customHeight="false" outlineLevel="0" collapsed="false">
      <c r="A6" s="11" t="s">
        <v>93</v>
      </c>
      <c r="B6" s="6" t="n">
        <f aca="false">B4*'Transaction Assumptions'!B20</f>
        <v>377.062296875</v>
      </c>
      <c r="C6" s="6" t="n">
        <f aca="false">C4*'Transaction Assumptions'!C20</f>
        <v>410.8822403125</v>
      </c>
      <c r="D6" s="6" t="n">
        <f aca="false">D4*'Transaction Assumptions'!D20</f>
        <v>445.497831461719</v>
      </c>
      <c r="E6" s="6" t="n">
        <f aca="false">E4*'Transaction Assumptions'!E20</f>
        <v>480.610441610063</v>
      </c>
      <c r="F6" s="6" t="n">
        <f aca="false">F4*'Transaction Assumptions'!F20</f>
        <v>515.887806873592</v>
      </c>
    </row>
    <row r="7" customFormat="false" ht="15" hidden="false" customHeight="false" outlineLevel="0" collapsed="false">
      <c r="A7" s="2" t="s">
        <v>94</v>
      </c>
      <c r="B7" s="15" t="n">
        <f aca="false">'Transaction Assumptions'!B20</f>
        <v>0.163</v>
      </c>
      <c r="C7" s="15" t="n">
        <f aca="false">'Transaction Assumptions'!C20</f>
        <v>0.166</v>
      </c>
      <c r="D7" s="15" t="n">
        <f aca="false">'Transaction Assumptions'!D20</f>
        <v>0.169</v>
      </c>
      <c r="E7" s="15" t="n">
        <f aca="false">'Transaction Assumptions'!E20</f>
        <v>0.172</v>
      </c>
      <c r="F7" s="15" t="n">
        <f aca="false">'Transaction Assumptions'!F20</f>
        <v>0.175</v>
      </c>
    </row>
    <row r="8" customFormat="false" ht="15" hidden="false" customHeight="false" outlineLevel="0" collapsed="false">
      <c r="A8" s="2" t="s">
        <v>95</v>
      </c>
      <c r="B8" s="6" t="n">
        <f aca="false">B4*$B$14</f>
        <v>97.15715625</v>
      </c>
      <c r="C8" s="6" t="n">
        <f aca="false">C4*$B$14</f>
        <v>103.9581571875</v>
      </c>
      <c r="D8" s="6" t="n">
        <f aca="false">D4*$B$14</f>
        <v>110.715437404688</v>
      </c>
      <c r="E8" s="6" t="n">
        <f aca="false">E4*$B$14</f>
        <v>117.358363648969</v>
      </c>
      <c r="F8" s="6" t="n">
        <f aca="false">F4*$B$14</f>
        <v>123.813073649662</v>
      </c>
    </row>
    <row r="9" customFormat="false" ht="15" hidden="false" customHeight="false" outlineLevel="0" collapsed="false">
      <c r="A9" s="11" t="s">
        <v>96</v>
      </c>
      <c r="B9" s="12" t="n">
        <f aca="false">B6-B8</f>
        <v>279.905140625</v>
      </c>
      <c r="C9" s="12" t="n">
        <f aca="false">C6-C8</f>
        <v>306.924083125</v>
      </c>
      <c r="D9" s="12" t="n">
        <f aca="false">D6-D8</f>
        <v>334.782394057031</v>
      </c>
      <c r="E9" s="12" t="n">
        <f aca="false">E6-E8</f>
        <v>363.252077961094</v>
      </c>
      <c r="F9" s="12" t="n">
        <f aca="false">F6-F8</f>
        <v>392.07473322393</v>
      </c>
    </row>
    <row r="10" customFormat="false" ht="15" hidden="false" customHeight="false" outlineLevel="0" collapsed="false">
      <c r="A10" s="2" t="s">
        <v>97</v>
      </c>
      <c r="B10" s="6" t="n">
        <f aca="false">'Debt Schedule'!B10</f>
        <v>138.976695</v>
      </c>
      <c r="C10" s="6" t="n">
        <f aca="false">'Debt Schedule'!C10</f>
        <v>132.02786025</v>
      </c>
      <c r="D10" s="6" t="n">
        <f aca="false">'Debt Schedule'!D10</f>
        <v>125.0790255</v>
      </c>
      <c r="E10" s="6" t="n">
        <f aca="false">'Debt Schedule'!E10</f>
        <v>118.13019075</v>
      </c>
      <c r="F10" s="6" t="n">
        <f aca="false">'Debt Schedule'!F10</f>
        <v>111.181356</v>
      </c>
    </row>
    <row r="11" customFormat="false" ht="15" hidden="false" customHeight="false" outlineLevel="0" collapsed="false">
      <c r="A11" s="2" t="s">
        <v>98</v>
      </c>
      <c r="B11" s="6" t="n">
        <f aca="false">B9-B10</f>
        <v>140.928445625</v>
      </c>
      <c r="C11" s="6" t="n">
        <f aca="false">C9-C10</f>
        <v>174.896222875</v>
      </c>
      <c r="D11" s="6" t="n">
        <f aca="false">D9-D10</f>
        <v>209.703368557031</v>
      </c>
      <c r="E11" s="6" t="n">
        <f aca="false">E9-E10</f>
        <v>245.121887211094</v>
      </c>
      <c r="F11" s="6" t="n">
        <f aca="false">F9-F10</f>
        <v>280.89337722393</v>
      </c>
    </row>
    <row r="12" customFormat="false" ht="15" hidden="false" customHeight="false" outlineLevel="0" collapsed="false">
      <c r="A12" s="2" t="s">
        <v>99</v>
      </c>
      <c r="B12" s="6" t="n">
        <f aca="false">MAX(B11,0)*'Transaction Assumptions'!$B$13</f>
        <v>35.23211140625</v>
      </c>
      <c r="C12" s="6" t="n">
        <f aca="false">MAX(C11,0)*'Transaction Assumptions'!$B$13</f>
        <v>43.72405571875</v>
      </c>
      <c r="D12" s="6" t="n">
        <f aca="false">MAX(D11,0)*'Transaction Assumptions'!$B$13</f>
        <v>52.4258421392578</v>
      </c>
      <c r="E12" s="6" t="n">
        <f aca="false">MAX(E11,0)*'Transaction Assumptions'!$B$13</f>
        <v>61.2804718027734</v>
      </c>
      <c r="F12" s="6" t="n">
        <f aca="false">MAX(F11,0)*'Transaction Assumptions'!$B$13</f>
        <v>70.2233443059824</v>
      </c>
    </row>
    <row r="13" customFormat="false" ht="15" hidden="false" customHeight="false" outlineLevel="0" collapsed="false">
      <c r="A13" s="11" t="s">
        <v>100</v>
      </c>
      <c r="B13" s="12" t="n">
        <f aca="false">B11-B12</f>
        <v>105.69633421875</v>
      </c>
      <c r="C13" s="12" t="n">
        <f aca="false">C11-C12</f>
        <v>131.17216715625</v>
      </c>
      <c r="D13" s="12" t="n">
        <f aca="false">D11-D12</f>
        <v>157.277526417773</v>
      </c>
      <c r="E13" s="12" t="n">
        <f aca="false">E11-E12</f>
        <v>183.84141540832</v>
      </c>
      <c r="F13" s="12" t="n">
        <f aca="false">F11-F12</f>
        <v>210.670032917947</v>
      </c>
    </row>
    <row r="14" customFormat="false" ht="15" hidden="false" customHeight="false" outlineLevel="0" collapsed="false">
      <c r="A14" s="2" t="s">
        <v>101</v>
      </c>
      <c r="B14" s="8" t="n">
        <v>0.042</v>
      </c>
    </row>
    <row r="16" customFormat="false" ht="15" hidden="false" customHeight="false" outlineLevel="0" collapsed="false">
      <c r="A16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103</v>
      </c>
    </row>
    <row r="3" customFormat="false" ht="15" hidden="false" customHeight="false" outlineLevel="0" collapsed="false">
      <c r="A3" s="3" t="s">
        <v>61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</row>
    <row r="4" customFormat="false" ht="15" hidden="false" customHeight="false" outlineLevel="0" collapsed="false">
      <c r="A4" s="2" t="s">
        <v>100</v>
      </c>
      <c r="B4" s="6" t="n">
        <f aca="false">'Income Statement'!B13</f>
        <v>105.69633421875</v>
      </c>
      <c r="C4" s="6" t="n">
        <f aca="false">'Income Statement'!C13</f>
        <v>131.17216715625</v>
      </c>
      <c r="D4" s="6" t="n">
        <f aca="false">'Income Statement'!D13</f>
        <v>157.277526417773</v>
      </c>
      <c r="E4" s="6" t="n">
        <f aca="false">'Income Statement'!E13</f>
        <v>183.84141540832</v>
      </c>
      <c r="F4" s="6" t="n">
        <f aca="false">'Income Statement'!F13</f>
        <v>210.670032917947</v>
      </c>
    </row>
    <row r="5" customFormat="false" ht="15" hidden="false" customHeight="false" outlineLevel="0" collapsed="false">
      <c r="A5" s="2" t="s">
        <v>104</v>
      </c>
      <c r="B5" s="6" t="n">
        <f aca="false">'Income Statement'!B8</f>
        <v>97.15715625</v>
      </c>
      <c r="C5" s="6" t="n">
        <f aca="false">'Income Statement'!C8</f>
        <v>103.9581571875</v>
      </c>
      <c r="D5" s="6" t="n">
        <f aca="false">'Income Statement'!D8</f>
        <v>110.715437404688</v>
      </c>
      <c r="E5" s="6" t="n">
        <f aca="false">'Income Statement'!E8</f>
        <v>117.358363648969</v>
      </c>
      <c r="F5" s="6" t="n">
        <f aca="false">'Income Statement'!F8</f>
        <v>123.813073649662</v>
      </c>
    </row>
    <row r="6" customFormat="false" ht="15" hidden="false" customHeight="false" outlineLevel="0" collapsed="false">
      <c r="A6" s="2" t="s">
        <v>105</v>
      </c>
      <c r="B6" s="6" t="n">
        <f aca="false">-'Income Statement'!B4*$B$12</f>
        <v>-282.21840625</v>
      </c>
      <c r="C6" s="6" t="n">
        <f aca="false">-'Income Statement'!C4*$B$12</f>
        <v>-301.9736946875</v>
      </c>
      <c r="D6" s="6" t="n">
        <f aca="false">-'Income Statement'!D4*$B$12</f>
        <v>-321.601984842188</v>
      </c>
      <c r="E6" s="6" t="n">
        <f aca="false">-'Income Statement'!E4*$B$12</f>
        <v>-340.898103932719</v>
      </c>
      <c r="F6" s="6" t="n">
        <f aca="false">-'Income Statement'!F4*$B$12</f>
        <v>-359.647499649018</v>
      </c>
    </row>
    <row r="7" customFormat="false" ht="15" hidden="false" customHeight="false" outlineLevel="0" collapsed="false">
      <c r="A7" s="2" t="s">
        <v>106</v>
      </c>
      <c r="B7" s="6" t="n">
        <f aca="false">-'Income Statement'!B4*'Transaction Assumptions'!B19*0.03</f>
        <v>-5.20484765625</v>
      </c>
      <c r="C7" s="6" t="n">
        <f aca="false">-'Income Statement'!C4*'Transaction Assumptions'!C19*0.03</f>
        <v>-5.197907859375</v>
      </c>
      <c r="D7" s="6" t="n">
        <f aca="false">-'Income Statement'!D4*'Transaction Assumptions'!D19*0.03</f>
        <v>-5.14035959378906</v>
      </c>
      <c r="E7" s="6" t="n">
        <f aca="false">-'Income Statement'!E4*'Transaction Assumptions'!E19*0.03</f>
        <v>-5.02964415638438</v>
      </c>
      <c r="F7" s="6" t="n">
        <f aca="false">-'Income Statement'!F4*'Transaction Assumptions'!F19*0.03</f>
        <v>-4.86408503623672</v>
      </c>
    </row>
    <row r="8" customFormat="false" ht="15" hidden="false" customHeight="false" outlineLevel="0" collapsed="false">
      <c r="A8" s="2" t="s">
        <v>107</v>
      </c>
      <c r="B8" s="6" t="n">
        <f aca="false">-'Debt Schedule'!B5</f>
        <v>-77.4675</v>
      </c>
      <c r="C8" s="6" t="n">
        <f aca="false">-'Debt Schedule'!C5</f>
        <v>-77.4675</v>
      </c>
      <c r="D8" s="6" t="n">
        <f aca="false">-'Debt Schedule'!D5</f>
        <v>-77.4675</v>
      </c>
      <c r="E8" s="6" t="n">
        <f aca="false">-'Debt Schedule'!E5</f>
        <v>-77.4675</v>
      </c>
      <c r="F8" s="6" t="n">
        <f aca="false">-'Debt Schedule'!F5</f>
        <v>-77.4675</v>
      </c>
    </row>
    <row r="9" customFormat="false" ht="15" hidden="false" customHeight="false" outlineLevel="0" collapsed="false">
      <c r="A9" s="11" t="s">
        <v>108</v>
      </c>
      <c r="B9" s="12" t="n">
        <f aca="false">SUM(B4:B8)</f>
        <v>-162.0372634375</v>
      </c>
      <c r="C9" s="12" t="n">
        <f aca="false">SUM(C4:C8)</f>
        <v>-149.508778203125</v>
      </c>
      <c r="D9" s="12" t="n">
        <f aca="false">SUM(D4:D8)</f>
        <v>-136.216880613516</v>
      </c>
      <c r="E9" s="12" t="n">
        <f aca="false">SUM(E4:E8)</f>
        <v>-122.195469031814</v>
      </c>
      <c r="F9" s="12" t="n">
        <f aca="false">SUM(F4:F8)</f>
        <v>-107.495978117646</v>
      </c>
    </row>
    <row r="10" customFormat="false" ht="15" hidden="false" customHeight="false" outlineLevel="0" collapsed="false">
      <c r="A10" s="11" t="s">
        <v>109</v>
      </c>
      <c r="B10" s="6" t="n">
        <f aca="false">MAX(B9,0)*'Transaction Assumptions'!$B$10</f>
        <v>0</v>
      </c>
      <c r="C10" s="6" t="n">
        <f aca="false">MAX(C9,0)*'Transaction Assumptions'!$B$10</f>
        <v>0</v>
      </c>
      <c r="D10" s="6" t="n">
        <f aca="false">MAX(D9,0)*'Transaction Assumptions'!$B$10</f>
        <v>0</v>
      </c>
      <c r="E10" s="6" t="n">
        <f aca="false">MAX(E9,0)*'Transaction Assumptions'!$B$10</f>
        <v>0</v>
      </c>
      <c r="F10" s="6" t="n">
        <f aca="false">MAX(F9,0)*'Transaction Assumptions'!$B$10</f>
        <v>0</v>
      </c>
    </row>
    <row r="12" customFormat="false" ht="15" hidden="false" customHeight="false" outlineLevel="0" collapsed="false">
      <c r="A12" s="2" t="s">
        <v>110</v>
      </c>
      <c r="B12" s="8" t="n">
        <v>0.122</v>
      </c>
    </row>
    <row r="13" customFormat="false" ht="15" hidden="false" customHeight="false" outlineLevel="0" collapsed="false">
      <c r="A13" s="5" t="s">
        <v>111</v>
      </c>
    </row>
    <row r="15" customFormat="false" ht="15" hidden="false" customHeight="false" outlineLevel="0" collapsed="false">
      <c r="A15" s="11" t="s">
        <v>112</v>
      </c>
    </row>
    <row r="16" customFormat="false" ht="15" hidden="false" customHeight="false" outlineLevel="0" collapsed="false">
      <c r="A16" s="2" t="s">
        <v>113</v>
      </c>
      <c r="B16" s="6" t="n">
        <f aca="false">'Income Statement'!F6</f>
        <v>515.887806873592</v>
      </c>
    </row>
    <row r="17" customFormat="false" ht="15" hidden="false" customHeight="false" outlineLevel="0" collapsed="false">
      <c r="A17" s="2" t="s">
        <v>47</v>
      </c>
      <c r="B17" s="16" t="n">
        <f aca="false">'Transaction Assumptions'!B15</f>
        <v>6.2</v>
      </c>
    </row>
    <row r="18" customFormat="false" ht="15" hidden="false" customHeight="false" outlineLevel="0" collapsed="false">
      <c r="A18" s="11" t="s">
        <v>114</v>
      </c>
      <c r="B18" s="12" t="n">
        <f aca="false">B16*B17</f>
        <v>3198.50440261627</v>
      </c>
    </row>
    <row r="19" customFormat="false" ht="15" hidden="false" customHeight="false" outlineLevel="0" collapsed="false">
      <c r="A19" s="2" t="s">
        <v>115</v>
      </c>
      <c r="B19" s="6" t="n">
        <f aca="false">-'Debt Schedule'!F8</f>
        <v>-1162.0125</v>
      </c>
    </row>
    <row r="20" customFormat="false" ht="15" hidden="false" customHeight="false" outlineLevel="0" collapsed="false">
      <c r="A20" s="11" t="s">
        <v>116</v>
      </c>
      <c r="B20" s="13" t="n">
        <f aca="false">B18+B19</f>
        <v>2036.49190261627</v>
      </c>
    </row>
    <row r="22" customFormat="false" ht="15" hidden="false" customHeight="false" outlineLevel="0" collapsed="false">
      <c r="A22" s="2" t="s">
        <v>117</v>
      </c>
      <c r="B22" s="6" t="n">
        <f aca="false">'Sources &amp; Uses'!D6</f>
        <v>628.0032</v>
      </c>
    </row>
    <row r="23" customFormat="false" ht="15" hidden="false" customHeight="false" outlineLevel="0" collapsed="false">
      <c r="A23" s="11" t="s">
        <v>118</v>
      </c>
      <c r="B23" s="17" t="n">
        <f aca="false">B20/B22</f>
        <v>3.2428049771343</v>
      </c>
    </row>
    <row r="25" customFormat="false" ht="15" hidden="false" customHeight="false" outlineLevel="0" collapsed="false">
      <c r="A25" s="2" t="s">
        <v>119</v>
      </c>
      <c r="B25" s="6" t="n">
        <f aca="false">-B22</f>
        <v>-628.0032</v>
      </c>
      <c r="C25" s="6" t="n">
        <f aca="false">0</f>
        <v>0</v>
      </c>
      <c r="D25" s="6" t="n">
        <f aca="false">0</f>
        <v>0</v>
      </c>
      <c r="E25" s="6" t="n">
        <f aca="false">0</f>
        <v>0</v>
      </c>
      <c r="F25" s="6" t="n">
        <f aca="false">0</f>
        <v>0</v>
      </c>
      <c r="G25" s="6" t="n">
        <f aca="false">B20</f>
        <v>2036.49190261627</v>
      </c>
    </row>
    <row r="26" customFormat="false" ht="15" hidden="false" customHeight="false" outlineLevel="0" collapsed="false">
      <c r="A26" s="11" t="s">
        <v>120</v>
      </c>
      <c r="B26" s="18" t="n">
        <f aca="false">IRR(B25:G25)</f>
        <v>0.265272783156019</v>
      </c>
    </row>
    <row r="28" customFormat="false" ht="15" hidden="false" customHeight="false" outlineLevel="0" collapsed="false">
      <c r="A28" s="5" t="s">
        <v>121</v>
      </c>
    </row>
    <row r="29" customFormat="false" ht="15" hidden="false" customHeight="false" outlineLevel="0" collapsed="false">
      <c r="A29" s="5" t="s">
        <v>122</v>
      </c>
    </row>
    <row r="30" customFormat="false" ht="15" hidden="false" customHeight="false" outlineLevel="0" collapsed="false">
      <c r="A30" s="5" t="s">
        <v>123</v>
      </c>
    </row>
    <row r="31" customFormat="false" ht="15" hidden="false" customHeight="false" outlineLevel="0" collapsed="false">
      <c r="A31" s="5" t="s">
        <v>124</v>
      </c>
    </row>
    <row r="32" customFormat="false" ht="15" hidden="false" customHeight="false" outlineLevel="0" collapsed="false">
      <c r="A32" s="5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19" t="s">
        <v>127</v>
      </c>
    </row>
    <row r="3" customFormat="false" ht="15" hidden="false" customHeight="false" outlineLevel="0" collapsed="false">
      <c r="A3" s="19" t="s">
        <v>128</v>
      </c>
    </row>
    <row r="4" customFormat="false" ht="15" hidden="false" customHeight="false" outlineLevel="0" collapsed="false">
      <c r="A4" s="19" t="s">
        <v>129</v>
      </c>
    </row>
    <row r="6" customFormat="false" ht="15" hidden="false" customHeight="false" outlineLevel="0" collapsed="false">
      <c r="A6" s="11" t="s">
        <v>130</v>
      </c>
      <c r="B6" s="14" t="n">
        <v>5.2</v>
      </c>
      <c r="C6" s="14" t="n">
        <v>5.7</v>
      </c>
      <c r="D6" s="14" t="n">
        <v>6.2</v>
      </c>
      <c r="E6" s="14" t="n">
        <v>6.7</v>
      </c>
      <c r="F6" s="14" t="n">
        <v>7.2</v>
      </c>
    </row>
    <row r="7" customFormat="false" ht="15" hidden="false" customHeight="false" outlineLevel="0" collapsed="false">
      <c r="A7" s="14" t="n">
        <v>5.2</v>
      </c>
      <c r="B7" s="16" t="n">
        <f aca="false">(('Cash Flow &amp; Returns'!$B$16*B$6-'Debt Schedule'!$F$8)/((('Transaction Assumptions'!$B$4*$A7)*(1+'Transaction Assumptions'!$B$6))-'Sources &amp; Uses'!$D$4))</f>
        <v>5.49317056795126</v>
      </c>
      <c r="C7" s="16" t="n">
        <f aca="false">(('Cash Flow &amp; Returns'!$B$16*C$6-'Debt Schedule'!$F$8)/((('Transaction Assumptions'!$B$4*$A7)*(1+'Transaction Assumptions'!$B$6))-'Sources &amp; Uses'!$D$4))</f>
        <v>6.42499092968021</v>
      </c>
      <c r="D7" s="16" t="n">
        <f aca="false">(('Cash Flow &amp; Returns'!$B$16*D$6-'Debt Schedule'!$F$8)/((('Transaction Assumptions'!$B$4*$A7)*(1+'Transaction Assumptions'!$B$6))-'Sources &amp; Uses'!$D$4))</f>
        <v>7.35681129140917</v>
      </c>
      <c r="E7" s="16" t="n">
        <f aca="false">(('Cash Flow &amp; Returns'!$B$16*E$6-'Debt Schedule'!$F$8)/((('Transaction Assumptions'!$B$4*$A7)*(1+'Transaction Assumptions'!$B$6))-'Sources &amp; Uses'!$D$4))</f>
        <v>8.28863165313812</v>
      </c>
      <c r="F7" s="16" t="n">
        <f aca="false">(('Cash Flow &amp; Returns'!$B$16*F$6-'Debt Schedule'!$F$8)/((('Transaction Assumptions'!$B$4*$A7)*(1+'Transaction Assumptions'!$B$6))-'Sources &amp; Uses'!$D$4))</f>
        <v>9.22045201486707</v>
      </c>
    </row>
    <row r="8" customFormat="false" ht="15" hidden="false" customHeight="false" outlineLevel="0" collapsed="false">
      <c r="A8" s="14" t="n">
        <v>5.7</v>
      </c>
      <c r="B8" s="16" t="n">
        <f aca="false">(('Cash Flow &amp; Returns'!$B$16*B$6-'Debt Schedule'!$F$8)/((('Transaction Assumptions'!$B$4*$A8)*(1+'Transaction Assumptions'!$B$6))-'Sources &amp; Uses'!$D$4))</f>
        <v>3.36111806440853</v>
      </c>
      <c r="C8" s="16" t="n">
        <f aca="false">(('Cash Flow &amp; Returns'!$B$16*C$6-'Debt Schedule'!$F$8)/((('Transaction Assumptions'!$B$4*$A8)*(1+'Transaction Assumptions'!$B$6))-'Sources &amp; Uses'!$D$4))</f>
        <v>3.93127298893675</v>
      </c>
      <c r="D8" s="16" t="n">
        <f aca="false">(('Cash Flow &amp; Returns'!$B$16*D$6-'Debt Schedule'!$F$8)/((('Transaction Assumptions'!$B$4*$A8)*(1+'Transaction Assumptions'!$B$6))-'Sources &amp; Uses'!$D$4))</f>
        <v>4.50142791346497</v>
      </c>
      <c r="E8" s="16" t="n">
        <f aca="false">(('Cash Flow &amp; Returns'!$B$16*E$6-'Debt Schedule'!$F$8)/((('Transaction Assumptions'!$B$4*$A8)*(1+'Transaction Assumptions'!$B$6))-'Sources &amp; Uses'!$D$4))</f>
        <v>5.07158283799319</v>
      </c>
      <c r="F8" s="16" t="n">
        <f aca="false">(('Cash Flow &amp; Returns'!$B$16*F$6-'Debt Schedule'!$F$8)/((('Transaction Assumptions'!$B$4*$A8)*(1+'Transaction Assumptions'!$B$6))-'Sources &amp; Uses'!$D$4))</f>
        <v>5.6417377625214</v>
      </c>
    </row>
    <row r="9" customFormat="false" ht="15" hidden="false" customHeight="false" outlineLevel="0" collapsed="false">
      <c r="A9" s="14" t="n">
        <v>6.2</v>
      </c>
      <c r="B9" s="16" t="n">
        <f aca="false">(('Cash Flow &amp; Returns'!$B$16*B$6-'Debt Schedule'!$F$8)/((('Transaction Assumptions'!$B$4*$A9)*(1+'Transaction Assumptions'!$B$6))-'Sources &amp; Uses'!$D$4))</f>
        <v>2.42133176350483</v>
      </c>
      <c r="C9" s="16" t="n">
        <f aca="false">(('Cash Flow &amp; Returns'!$B$16*C$6-'Debt Schedule'!$F$8)/((('Transaction Assumptions'!$B$4*$A9)*(1+'Transaction Assumptions'!$B$6))-'Sources &amp; Uses'!$D$4))</f>
        <v>2.83206837031957</v>
      </c>
      <c r="D9" s="16" t="n">
        <f aca="false">(('Cash Flow &amp; Returns'!$B$16*D$6-'Debt Schedule'!$F$8)/((('Transaction Assumptions'!$B$4*$A9)*(1+'Transaction Assumptions'!$B$6))-'Sources &amp; Uses'!$D$4))</f>
        <v>3.2428049771343</v>
      </c>
      <c r="E9" s="16" t="n">
        <f aca="false">(('Cash Flow &amp; Returns'!$B$16*E$6-'Debt Schedule'!$F$8)/((('Transaction Assumptions'!$B$4*$A9)*(1+'Transaction Assumptions'!$B$6))-'Sources &amp; Uses'!$D$4))</f>
        <v>3.65354158394904</v>
      </c>
      <c r="F9" s="16" t="n">
        <f aca="false">(('Cash Flow &amp; Returns'!$B$16*F$6-'Debt Schedule'!$F$8)/((('Transaction Assumptions'!$B$4*$A9)*(1+'Transaction Assumptions'!$B$6))-'Sources &amp; Uses'!$D$4))</f>
        <v>4.06427819076377</v>
      </c>
    </row>
    <row r="10" customFormat="false" ht="15" hidden="false" customHeight="false" outlineLevel="0" collapsed="false">
      <c r="A10" s="14" t="n">
        <v>6.7</v>
      </c>
      <c r="B10" s="16" t="n">
        <f aca="false">(('Cash Flow &amp; Returns'!$B$16*B$6-'Debt Schedule'!$F$8)/((('Transaction Assumptions'!$B$4*$A10)*(1+'Transaction Assumptions'!$B$6))-'Sources &amp; Uses'!$D$4))</f>
        <v>1.89224898741766</v>
      </c>
      <c r="C10" s="16" t="n">
        <f aca="false">(('Cash Flow &amp; Returns'!$B$16*C$6-'Debt Schedule'!$F$8)/((('Transaction Assumptions'!$B$4*$A10)*(1+'Transaction Assumptions'!$B$6))-'Sources &amp; Uses'!$D$4))</f>
        <v>2.21323595006979</v>
      </c>
      <c r="D10" s="16" t="n">
        <f aca="false">(('Cash Flow &amp; Returns'!$B$16*D$6-'Debt Schedule'!$F$8)/((('Transaction Assumptions'!$B$4*$A10)*(1+'Transaction Assumptions'!$B$6))-'Sources &amp; Uses'!$D$4))</f>
        <v>2.53422291272192</v>
      </c>
      <c r="E10" s="16" t="n">
        <f aca="false">(('Cash Flow &amp; Returns'!$B$16*E$6-'Debt Schedule'!$F$8)/((('Transaction Assumptions'!$B$4*$A10)*(1+'Transaction Assumptions'!$B$6))-'Sources &amp; Uses'!$D$4))</f>
        <v>2.85520987537406</v>
      </c>
      <c r="F10" s="16" t="n">
        <f aca="false">(('Cash Flow &amp; Returns'!$B$16*F$6-'Debt Schedule'!$F$8)/((('Transaction Assumptions'!$B$4*$A10)*(1+'Transaction Assumptions'!$B$6))-'Sources &amp; Uses'!$D$4))</f>
        <v>3.17619683802619</v>
      </c>
    </row>
    <row r="11" customFormat="false" ht="15" hidden="false" customHeight="false" outlineLevel="0" collapsed="false">
      <c r="A11" s="14" t="n">
        <v>7.2</v>
      </c>
      <c r="B11" s="16" t="n">
        <f aca="false">(('Cash Flow &amp; Returns'!$B$16*B$6-'Debt Schedule'!$F$8)/((('Transaction Assumptions'!$B$4*$A11)*(1+'Transaction Assumptions'!$B$6))-'Sources &amp; Uses'!$D$4))</f>
        <v>1.55292163735331</v>
      </c>
      <c r="C11" s="16" t="n">
        <f aca="false">(('Cash Flow &amp; Returns'!$B$16*C$6-'Debt Schedule'!$F$8)/((('Transaction Assumptions'!$B$4*$A11)*(1+'Transaction Assumptions'!$B$6))-'Sources &amp; Uses'!$D$4))</f>
        <v>1.81634764678723</v>
      </c>
      <c r="D11" s="16" t="n">
        <f aca="false">(('Cash Flow &amp; Returns'!$B$16*D$6-'Debt Schedule'!$F$8)/((('Transaction Assumptions'!$B$4*$A11)*(1+'Transaction Assumptions'!$B$6))-'Sources &amp; Uses'!$D$4))</f>
        <v>2.07977365622116</v>
      </c>
      <c r="E11" s="16" t="n">
        <f aca="false">(('Cash Flow &amp; Returns'!$B$16*E$6-'Debt Schedule'!$F$8)/((('Transaction Assumptions'!$B$4*$A11)*(1+'Transaction Assumptions'!$B$6))-'Sources &amp; Uses'!$D$4))</f>
        <v>2.34319966565508</v>
      </c>
      <c r="F11" s="16" t="n">
        <f aca="false">(('Cash Flow &amp; Returns'!$B$16*F$6-'Debt Schedule'!$F$8)/((('Transaction Assumptions'!$B$4*$A11)*(1+'Transaction Assumptions'!$B$6))-'Sources &amp; Uses'!$D$4))</f>
        <v>2.606625675089</v>
      </c>
    </row>
    <row r="13" customFormat="false" ht="15" hidden="false" customHeight="false" outlineLevel="0" collapsed="false">
      <c r="A13" s="5" t="s">
        <v>131</v>
      </c>
    </row>
    <row r="14" customFormat="false" ht="15" hidden="false" customHeight="false" outlineLevel="0" collapsed="false">
      <c r="A14" s="5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133</v>
      </c>
    </row>
    <row r="3" customFormat="false" ht="15" hidden="false" customHeight="false" outlineLevel="0" collapsed="false">
      <c r="A3" s="3" t="s">
        <v>134</v>
      </c>
      <c r="B3" s="3" t="s">
        <v>135</v>
      </c>
    </row>
    <row r="4" customFormat="false" ht="15" hidden="false" customHeight="false" outlineLevel="0" collapsed="false">
      <c r="A4" s="2" t="s">
        <v>136</v>
      </c>
      <c r="B4" s="20" t="s">
        <v>137</v>
      </c>
    </row>
    <row r="5" customFormat="false" ht="15" hidden="false" customHeight="false" outlineLevel="0" collapsed="false">
      <c r="A5" s="2" t="s">
        <v>138</v>
      </c>
      <c r="B5" s="20" t="s">
        <v>139</v>
      </c>
    </row>
    <row r="6" customFormat="false" ht="15" hidden="false" customHeight="false" outlineLevel="0" collapsed="false">
      <c r="A6" s="2" t="s">
        <v>140</v>
      </c>
      <c r="B6" s="20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2026-08-15T05:22:30Z</dcterms:created>
  <dc:creator>Abia Khan</dc:creator>
  <dc:description/>
  <dc:language>en-US</dc:language>
  <cp:lastModifiedBy>Abia Khan</cp:lastModifiedBy>
  <dcterms:modified xsi:type="dcterms:W3CDTF">2026-08-15T05:22:30Z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